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hara\Downloads\"/>
    </mc:Choice>
  </mc:AlternateContent>
  <xr:revisionPtr revIDLastSave="0" documentId="13_ncr:1_{FB73194F-39EB-4FC4-A323-A09EA1FD328B}" xr6:coauthVersionLast="47" xr6:coauthVersionMax="47" xr10:uidLastSave="{00000000-0000-0000-0000-000000000000}"/>
  <bookViews>
    <workbookView xWindow="-108" yWindow="-108" windowWidth="23256" windowHeight="13176" firstSheet="2" activeTab="6" xr2:uid="{BEE73F53-48D6-4DB7-AF5E-320FB38363AA}"/>
  </bookViews>
  <sheets>
    <sheet name="Diabetes" sheetId="7" r:id="rId1"/>
    <sheet name="Length of Coastline" sheetId="8" r:id="rId2"/>
    <sheet name="Yearly Temperature" sheetId="13" r:id="rId3"/>
    <sheet name="News Gateway" sheetId="9" r:id="rId4"/>
    <sheet name="Traffic Accidents" sheetId="11" r:id="rId5"/>
    <sheet name="FIFA World Cup Revenues" sheetId="12" r:id="rId6"/>
    <sheet name="Survey Responses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0" l="1"/>
  <c r="G4" i="10"/>
  <c r="G5" i="10"/>
  <c r="G6" i="10"/>
  <c r="G2" i="10"/>
  <c r="F3" i="10"/>
  <c r="F4" i="10"/>
  <c r="F5" i="10"/>
  <c r="F6" i="10"/>
  <c r="F2" i="10"/>
  <c r="C7" i="10"/>
  <c r="B7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C081C9-CACC-4A88-991A-764853F67872}" keepAlive="1" name="Query - Bank_Revenue_Businesswise" description="Connection to the 'Bank_Revenue_Businesswise' query in the workbook." type="5" refreshedVersion="0" background="1">
    <dbPr connection="Provider=Microsoft.Mashup.OleDb.1;Data Source=$Workbook$;Location=Bank_Revenue_Businesswise;Extended Properties=&quot;&quot;" command="SELECT * FROM [Bank_Revenue_Businesswise]"/>
  </connection>
  <connection id="2" xr16:uid="{EE6D6D62-6C9A-4D8C-8829-065F3DB0E8A0}" keepAlive="1" name="Query - Indian_Bank_Revenue_Businesswise" description="Connection to the 'Indian_Bank_Revenue_Businesswise' query in the workbook." type="5" refreshedVersion="0" background="1">
    <dbPr connection="Provider=Microsoft.Mashup.OleDb.1;Data Source=$Workbook$;Location=Indian_Bank_Revenue_Businesswise;Extended Properties=&quot;&quot;" command="SELECT * FROM [Indian_Bank_Revenue_Businesswise]"/>
  </connection>
</connections>
</file>

<file path=xl/sharedStrings.xml><?xml version="1.0" encoding="utf-8"?>
<sst xmlns="http://schemas.openxmlformats.org/spreadsheetml/2006/main" count="72" uniqueCount="60">
  <si>
    <t>Diabetes Rates</t>
  </si>
  <si>
    <t>Year</t>
  </si>
  <si>
    <t>Gender</t>
  </si>
  <si>
    <t>Rate</t>
  </si>
  <si>
    <t>Men</t>
  </si>
  <si>
    <t>Women</t>
  </si>
  <si>
    <t>State</t>
  </si>
  <si>
    <t>Length of Coastline (Kms)</t>
  </si>
  <si>
    <t>Puduchery</t>
  </si>
  <si>
    <t>Lakshadweep</t>
  </si>
  <si>
    <t>West Bengal</t>
  </si>
  <si>
    <t>Goa, Daman &amp; Diu</t>
  </si>
  <si>
    <t>Karnataka</t>
  </si>
  <si>
    <t>Odisha</t>
  </si>
  <si>
    <t>Kerala</t>
  </si>
  <si>
    <t>Maharashtra</t>
  </si>
  <si>
    <t>Tamil Nadu</t>
  </si>
  <si>
    <t>Andhrapradesh</t>
  </si>
  <si>
    <t>Gujrat</t>
  </si>
  <si>
    <t>Andaman &amp; Nicobar</t>
  </si>
  <si>
    <r>
      <t>Mean Temperature (</t>
    </r>
    <r>
      <rPr>
        <vertAlign val="superscript"/>
        <sz val="11"/>
        <color theme="1"/>
        <rFont val="Arial"/>
        <family val="2"/>
      </rPr>
      <t>o</t>
    </r>
    <r>
      <rPr>
        <sz val="11"/>
        <color theme="1"/>
        <rFont val="Arial"/>
        <family val="2"/>
      </rPr>
      <t>C)</t>
    </r>
  </si>
  <si>
    <t>Segment</t>
  </si>
  <si>
    <t>Survey responses</t>
  </si>
  <si>
    <t>Email</t>
  </si>
  <si>
    <t>Aggregators</t>
  </si>
  <si>
    <t>Mobile alerts</t>
  </si>
  <si>
    <t>Direct</t>
  </si>
  <si>
    <t>Search</t>
  </si>
  <si>
    <t>Social media</t>
  </si>
  <si>
    <t>Past 10 years traffic acccidents</t>
  </si>
  <si>
    <t>Month</t>
  </si>
  <si>
    <t>% of Total Accident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</si>
  <si>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</si>
  <si>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</si>
  <si>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</si>
  <si>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</si>
  <si>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</si>
  <si>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</si>
  <si>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</si>
  <si>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</si>
  <si>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</si>
  <si>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</si>
  <si>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</si>
  <si>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</si>
  <si>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Revenues 
($ billion)</t>
  </si>
  <si>
    <t>1999-2002</t>
  </si>
  <si>
    <t>2003-2006</t>
  </si>
  <si>
    <t>2007-2010</t>
  </si>
  <si>
    <t>2011-2014</t>
  </si>
  <si>
    <t>2015-2018</t>
  </si>
  <si>
    <t>2019-2022</t>
  </si>
  <si>
    <t>Grade</t>
  </si>
  <si>
    <t>Before</t>
  </si>
  <si>
    <t>After</t>
  </si>
  <si>
    <t>Hate it</t>
  </si>
  <si>
    <t>Not much interest</t>
  </si>
  <si>
    <t>Just ok</t>
  </si>
  <si>
    <t>Interesting</t>
  </si>
  <si>
    <t>Love 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</si>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</sst>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Aptos Narrow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vertAlign val="superscript"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2CEE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9" fontId="5" fillId="0" borderId="0" xfId="1" applyFont="1"/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9" fontId="6" fillId="0" borderId="6" xfId="0" applyNumberFormat="1" applyFont="1" applyBorder="1"/>
    <xf numFmtId="0" fontId="5" fillId="2" borderId="5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5" fillId="0" borderId="0" xfId="0" applyFont="1" applyAlignment="1">
      <alignment wrapText="1"/>
    </xf>
    <xf numFmtId="3" fontId="5" fillId="0" borderId="0" xfId="0" applyNumberFormat="1" applyFont="1" applyAlignment="1">
      <alignment wrapText="1"/>
    </xf>
    <xf numFmtId="0" fontId="5" fillId="3" borderId="1" xfId="0" applyFont="1" applyFill="1" applyBorder="1"/>
    <xf numFmtId="0" fontId="5" fillId="3" borderId="4" xfId="0" applyFont="1" applyFill="1" applyBorder="1"/>
    <xf numFmtId="0" fontId="7" fillId="0" borderId="5" xfId="0" applyFont="1" applyBorder="1"/>
    <xf numFmtId="0" fontId="7" fillId="0" borderId="6" xfId="0" applyFont="1" applyBorder="1"/>
    <xf numFmtId="3" fontId="7" fillId="0" borderId="6" xfId="0" applyNumberFormat="1" applyFont="1" applyBorder="1"/>
    <xf numFmtId="0" fontId="8" fillId="0" borderId="5" xfId="0" applyFont="1" applyBorder="1"/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5" fillId="4" borderId="1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81ABD5"/>
      <color rgb="FFFF8F43"/>
      <color rgb="FFE2C5A8"/>
      <color rgb="FF46C2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Diabetes Growth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Diabetes!$C$2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1A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7BD-43F3-8E6A-18600BF7A063}"/>
              </c:ext>
            </c:extLst>
          </c:dPt>
          <c:dPt>
            <c:idx val="1"/>
            <c:invertIfNegative val="0"/>
            <c:bubble3D val="0"/>
            <c:spPr>
              <a:solidFill>
                <a:srgbClr val="E2C5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7BD-43F3-8E6A-18600BF7A063}"/>
              </c:ext>
            </c:extLst>
          </c:dPt>
          <c:dPt>
            <c:idx val="2"/>
            <c:invertIfNegative val="0"/>
            <c:bubble3D val="0"/>
            <c:spPr>
              <a:solidFill>
                <a:srgbClr val="81A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BD-43F3-8E6A-18600BF7A063}"/>
              </c:ext>
            </c:extLst>
          </c:dPt>
          <c:dPt>
            <c:idx val="3"/>
            <c:invertIfNegative val="0"/>
            <c:bubble3D val="0"/>
            <c:spPr>
              <a:solidFill>
                <a:srgbClr val="E2C5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BD-43F3-8E6A-18600BF7A0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Diabetes!$A$3:$B$6</c:f>
              <c:multiLvlStrCache>
                <c:ptCount val="4"/>
                <c:lvl>
                  <c:pt idx="0">
                    <c:v>Men</c:v>
                  </c:pt>
                  <c:pt idx="1">
                    <c:v>Women</c:v>
                  </c:pt>
                  <c:pt idx="2">
                    <c:v>Men</c:v>
                  </c:pt>
                  <c:pt idx="3">
                    <c:v>Women</c:v>
                  </c:pt>
                </c:lvl>
                <c:lvl>
                  <c:pt idx="0">
                    <c:v>1990</c:v>
                  </c:pt>
                  <c:pt idx="1">
                    <c:v>1990</c:v>
                  </c:pt>
                  <c:pt idx="2">
                    <c:v>2022</c:v>
                  </c:pt>
                  <c:pt idx="3">
                    <c:v>2022</c:v>
                  </c:pt>
                </c:lvl>
              </c:multiLvlStrCache>
            </c:multiLvlStrRef>
          </c:cat>
          <c:val>
            <c:numRef>
              <c:f>Diabetes!$C$3:$C$6</c:f>
              <c:numCache>
                <c:formatCode>0%</c:formatCode>
                <c:ptCount val="4"/>
                <c:pt idx="0">
                  <c:v>0.12</c:v>
                </c:pt>
                <c:pt idx="1">
                  <c:v>0.11</c:v>
                </c:pt>
                <c:pt idx="2">
                  <c:v>0.24</c:v>
                </c:pt>
                <c:pt idx="3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D-43F3-8E6A-18600BF7A0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09950624"/>
        <c:axId val="809943904"/>
      </c:barChart>
      <c:catAx>
        <c:axId val="809950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943904"/>
        <c:crosses val="autoZero"/>
        <c:auto val="1"/>
        <c:lblAlgn val="ctr"/>
        <c:lblOffset val="100"/>
        <c:noMultiLvlLbl val="0"/>
      </c:catAx>
      <c:valAx>
        <c:axId val="80994390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95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'Length of Coastline'!$B$1</c:f>
              <c:strCache>
                <c:ptCount val="1"/>
                <c:pt idx="0">
                  <c:v>Length of Coastline (Kms)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'Length of Coastline'!$A$2:$A$13</c:f>
              <c:strCache>
                <c:ptCount val="12"/>
                <c:pt idx="0">
                  <c:v>Puduchery</c:v>
                </c:pt>
                <c:pt idx="1">
                  <c:v>Lakshadweep</c:v>
                </c:pt>
                <c:pt idx="2">
                  <c:v>West Bengal</c:v>
                </c:pt>
                <c:pt idx="3">
                  <c:v>Goa, Daman &amp; Diu</c:v>
                </c:pt>
                <c:pt idx="4">
                  <c:v>Karnataka</c:v>
                </c:pt>
                <c:pt idx="5">
                  <c:v>Odisha</c:v>
                </c:pt>
                <c:pt idx="6">
                  <c:v>Kerala</c:v>
                </c:pt>
                <c:pt idx="7">
                  <c:v>Maharashtra</c:v>
                </c:pt>
                <c:pt idx="8">
                  <c:v>Tamil Nadu</c:v>
                </c:pt>
                <c:pt idx="9">
                  <c:v>Andhrapradesh</c:v>
                </c:pt>
                <c:pt idx="10">
                  <c:v>Gujrat</c:v>
                </c:pt>
                <c:pt idx="11">
                  <c:v>Andaman &amp; Nicobar</c:v>
                </c:pt>
              </c:strCache>
            </c:strRef>
          </c:cat>
          <c:val>
            <c:numRef>
              <c:f>'Length of Coastline'!$B$2:$B$13</c:f>
              <c:numCache>
                <c:formatCode>General</c:formatCode>
                <c:ptCount val="12"/>
                <c:pt idx="0">
                  <c:v>31</c:v>
                </c:pt>
                <c:pt idx="1">
                  <c:v>132</c:v>
                </c:pt>
                <c:pt idx="2">
                  <c:v>158</c:v>
                </c:pt>
                <c:pt idx="3">
                  <c:v>161</c:v>
                </c:pt>
                <c:pt idx="4">
                  <c:v>280</c:v>
                </c:pt>
                <c:pt idx="5">
                  <c:v>476</c:v>
                </c:pt>
                <c:pt idx="6">
                  <c:v>570</c:v>
                </c:pt>
                <c:pt idx="7">
                  <c:v>653</c:v>
                </c:pt>
                <c:pt idx="8">
                  <c:v>907</c:v>
                </c:pt>
                <c:pt idx="9">
                  <c:v>974</c:v>
                </c:pt>
                <c:pt idx="10" formatCode="#,##0">
                  <c:v>1215</c:v>
                </c:pt>
                <c:pt idx="11" formatCode="#,##0">
                  <c:v>1962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0-4A50-9985-FF33A4BED0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09960224"/>
        <c:axId val="809960704"/>
      </c:barChart>
      <c:catAx>
        <c:axId val="809960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470462962962963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960704"/>
        <c:crosses val="autoZero"/>
        <c:auto val="1"/>
        <c:lblAlgn val="ctr"/>
        <c:lblOffset val="100"/>
        <c:noMultiLvlLbl val="0"/>
      </c:catAx>
      <c:valAx>
        <c:axId val="80996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0996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'Yearly Temperature'!$B$1</c:f>
              <c:strCache>
                <c:ptCount val="1"/>
                <c:pt idx="0">
                  <c:v>Mean Temperature (oC)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cat>
            <c:numRef>
              <c:f>'Yearly Temperature'!$A$2:$A$16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'Yearly Temperature'!$B$2:$B$16</c:f>
              <c:numCache>
                <c:formatCode>General</c:formatCode>
                <c:ptCount val="15"/>
                <c:pt idx="0">
                  <c:v>-7.1</c:v>
                </c:pt>
                <c:pt idx="1">
                  <c:v>-6.5</c:v>
                </c:pt>
                <c:pt idx="2">
                  <c:v>-6.6</c:v>
                </c:pt>
                <c:pt idx="3">
                  <c:v>-7.6</c:v>
                </c:pt>
                <c:pt idx="4">
                  <c:v>-6.8</c:v>
                </c:pt>
                <c:pt idx="5">
                  <c:v>-7.3</c:v>
                </c:pt>
                <c:pt idx="6">
                  <c:v>-6.9</c:v>
                </c:pt>
                <c:pt idx="7">
                  <c:v>-5.3</c:v>
                </c:pt>
                <c:pt idx="8">
                  <c:v>-5.0999999999999996</c:v>
                </c:pt>
                <c:pt idx="9">
                  <c:v>-7.2</c:v>
                </c:pt>
                <c:pt idx="10">
                  <c:v>-6.9</c:v>
                </c:pt>
                <c:pt idx="11">
                  <c:v>-5.9</c:v>
                </c:pt>
                <c:pt idx="12">
                  <c:v>-6.4</c:v>
                </c:pt>
                <c:pt idx="13">
                  <c:v>-5.6</c:v>
                </c:pt>
                <c:pt idx="14">
                  <c:v>-6.5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1A-4515-8EDF-7CA2018F220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09851152"/>
        <c:axId val="909851632"/>
      </c:lineChart>
      <c:catAx>
        <c:axId val="90985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851632"/>
        <c:crosses val="autoZero"/>
        <c:auto val="1"/>
        <c:lblAlgn val="ctr"/>
        <c:lblOffset val="100"/>
        <c:noMultiLvlLbl val="0"/>
      </c:catAx>
      <c:valAx>
        <c:axId val="909851632"/>
        <c:scaling>
          <c:orientation val="minMax"/>
          <c:max val="-4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85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a</a:t>
            </a:r>
          </a:p>
        </c:rich>
      </c:tx>
      <c:layout>
        <c:manualLayout>
          <c:xMode val="edge"/>
          <c:yMode val="edge"/>
          <c:x val="8.3378870673952638E-2"/>
          <c:y val="3.5727045373347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'News Gateway'!$B$1</c:f>
              <c:strCache>
                <c:ptCount val="1"/>
                <c:pt idx="0">
                  <c:v>Survey responses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A6B-4ED9-952D-DF2976BCD4BB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6B-4ED9-952D-DF2976BCD4BB}"/>
              </c:ext>
            </c:extLst>
          </c:dPt>
          <c:dPt>
            <c:idx val="2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A6B-4ED9-952D-DF2976BCD4BB}"/>
              </c:ext>
            </c:extLst>
          </c:dPt>
          <c:dPt>
            <c:idx val="3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6B-4ED9-952D-DF2976BCD4BB}"/>
              </c:ext>
            </c:extLst>
          </c:dPt>
          <c:dPt>
            <c:idx val="4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A6B-4ED9-952D-DF2976BCD4BB}"/>
              </c:ext>
            </c:extLst>
          </c:dPt>
          <c:dPt>
            <c:idx val="5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6B-4ED9-952D-DF2976BCD4BB}"/>
              </c:ext>
            </c:extLst>
          </c:dPt>
          <c:dLbls>
            <c:dLbl>
              <c:idx val="0"/>
              <c:layout>
                <c:manualLayout>
                  <c:x val="-8.348416005259012E-17"/>
                  <c:y val="-2.143622722400860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A6B-4ED9-952D-DF2976BCD4BB}"/>
                </c:ext>
              </c:extLst>
            </c:dLbl>
            <c:dLbl>
              <c:idx val="1"/>
              <c:layout>
                <c:manualLayout>
                  <c:x val="1.8215025888157422E-2"/>
                  <c:y val="-1.25044658806717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854061787358545"/>
                      <c:h val="9.27831368345837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A6B-4ED9-952D-DF2976BCD4BB}"/>
                </c:ext>
              </c:extLst>
            </c:dLbl>
            <c:dLbl>
              <c:idx val="2"/>
              <c:layout>
                <c:manualLayout>
                  <c:x val="4.5537340619307837E-3"/>
                  <c:y val="2.143622722400857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A6B-4ED9-952D-DF2976BCD4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'News Gateway'!$A$2:$A$7</c:f>
              <c:strCache>
                <c:ptCount val="6"/>
                <c:pt idx="0">
                  <c:v>Email</c:v>
                </c:pt>
                <c:pt idx="1">
                  <c:v>Aggregators</c:v>
                </c:pt>
                <c:pt idx="2">
                  <c:v>Mobile alerts</c:v>
                </c:pt>
                <c:pt idx="3">
                  <c:v>Direct</c:v>
                </c:pt>
                <c:pt idx="4">
                  <c:v>Search</c:v>
                </c:pt>
                <c:pt idx="5">
                  <c:v>Social media</c:v>
                </c:pt>
              </c:strCache>
            </c:strRef>
          </c:cat>
          <c:val>
            <c:numRef>
              <c:f>'News Gateway'!$B$2:$B$7</c:f>
              <c:numCache>
                <c:formatCode>#,##0</c:formatCode>
                <c:ptCount val="6"/>
                <c:pt idx="0">
                  <c:v>3655</c:v>
                </c:pt>
                <c:pt idx="1">
                  <c:v>5849</c:v>
                </c:pt>
                <c:pt idx="2">
                  <c:v>6580</c:v>
                </c:pt>
                <c:pt idx="3">
                  <c:v>16084</c:v>
                </c:pt>
                <c:pt idx="4">
                  <c:v>18277</c:v>
                </c:pt>
                <c:pt idx="5">
                  <c:v>21201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B-4ED9-952D-DF2976BCD4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'Traffic Accidents'!$B$2</c:f>
              <c:strCache>
                <c:ptCount val="1"/>
                <c:pt idx="0">
                  <c:v>% of Total Accident</c:v>
                </c:pt>
              </c:strCache>
            </c:strRef>
          </c:tx>
          <c:spPr>
            <a:ln w="31750" cap="rnd">
              <a:solidFill>
                <a:srgbClr val="81ABD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FF8F4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'Traffic Accidents'!$A$3:$A$14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'Traffic Accidents'!$B$3:$B$14</c:f>
              <c:numCache>
                <c:formatCode>General</c:formatCode>
                <c:ptCount val="12"/>
                <c:pt idx="0">
                  <c:v>8.6999999999999993</c:v>
                </c:pt>
                <c:pt idx="1">
                  <c:v>8.1999999999999993</c:v>
                </c:pt>
                <c:pt idx="2">
                  <c:v>8.6999999999999993</c:v>
                </c:pt>
                <c:pt idx="3">
                  <c:v>8.6</c:v>
                </c:pt>
                <c:pt idx="4">
                  <c:v>9.3000000000000007</c:v>
                </c:pt>
                <c:pt idx="5">
                  <c:v>8.4</c:v>
                </c:pt>
                <c:pt idx="6">
                  <c:v>7.8</c:v>
                </c:pt>
                <c:pt idx="7">
                  <c:v>7.8</c:v>
                </c:pt>
                <c:pt idx="8">
                  <c:v>7.7</c:v>
                </c:pt>
                <c:pt idx="9">
                  <c:v>8.1</c:v>
                </c:pt>
                <c:pt idx="10">
                  <c:v>8.1</c:v>
                </c:pt>
                <c:pt idx="11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AD-4C41-8171-060ACCF00A9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09854512"/>
        <c:axId val="909861232"/>
      </c:lineChart>
      <c:catAx>
        <c:axId val="90985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861232"/>
        <c:crosses val="autoZero"/>
        <c:auto val="1"/>
        <c:lblAlgn val="ctr"/>
        <c:lblOffset val="100"/>
        <c:noMultiLvlLbl val="0"/>
      </c:catAx>
      <c:valAx>
        <c:axId val="909861232"/>
        <c:scaling>
          <c:orientation val="minMax"/>
          <c:min val="7.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85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'FIFA World Cup Revenues'!$B$1</c:f>
              <c:strCache>
                <c:ptCount val="1"/>
                <c:pt idx="0">
                  <c:v>Revenues 
($ billion)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'FIFA World Cup Revenues'!$A$2:$A$7</c:f>
              <c:strCache>
                <c:ptCount val="6"/>
                <c:pt idx="0">
                  <c:v>1999-2002</c:v>
                </c:pt>
                <c:pt idx="1">
                  <c:v>2003-2006</c:v>
                </c:pt>
                <c:pt idx="2">
                  <c:v>2007-2010</c:v>
                </c:pt>
                <c:pt idx="3">
                  <c:v>2011-2014</c:v>
                </c:pt>
                <c:pt idx="4">
                  <c:v>2015-2018</c:v>
                </c:pt>
                <c:pt idx="5">
                  <c:v>2019-2022</c:v>
                </c:pt>
              </c:strCache>
            </c:strRef>
          </c:cat>
          <c:val>
            <c:numRef>
              <c:f>'FIFA World Cup Revenues'!$B$2:$B$7</c:f>
              <c:numCache>
                <c:formatCode>General</c:formatCode>
                <c:ptCount val="6"/>
                <c:pt idx="0">
                  <c:v>1.2</c:v>
                </c:pt>
                <c:pt idx="1">
                  <c:v>3.2</c:v>
                </c:pt>
                <c:pt idx="2">
                  <c:v>4.2</c:v>
                </c:pt>
                <c:pt idx="3">
                  <c:v>5.7</c:v>
                </c:pt>
                <c:pt idx="4">
                  <c:v>6.4</c:v>
                </c:pt>
                <c:pt idx="5">
                  <c:v>7.57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7C-489C-916F-E1129423BC7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09805552"/>
        <c:axId val="909807472"/>
      </c:lineChart>
      <c:catAx>
        <c:axId val="90980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807472"/>
        <c:crosses val="autoZero"/>
        <c:auto val="1"/>
        <c:lblAlgn val="ctr"/>
        <c:lblOffset val="100"/>
        <c:noMultiLvlLbl val="0"/>
      </c:catAx>
      <c:valAx>
        <c:axId val="909807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80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'Survey Responses'!$F$1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rgbClr val="81ABD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'Survey Responses'!$E$2:$E$6</c:f>
              <c:strCache>
                <c:ptCount val="5"/>
                <c:pt idx="0">
                  <c:v>Hate it</c:v>
                </c:pt>
                <c:pt idx="1">
                  <c:v>Not much interest</c:v>
                </c:pt>
                <c:pt idx="2">
                  <c:v>Just ok</c:v>
                </c:pt>
                <c:pt idx="3">
                  <c:v>Interesting</c:v>
                </c:pt>
                <c:pt idx="4">
                  <c:v>Love it</c:v>
                </c:pt>
              </c:strCache>
            </c:strRef>
          </c:cat>
          <c:val>
            <c:numRef>
              <c:f>'Survey Responses'!$F$2:$F$6</c:f>
              <c:numCache>
                <c:formatCode>0%</c:formatCode>
                <c:ptCount val="5"/>
                <c:pt idx="0">
                  <c:v>0.24424424424424424</c:v>
                </c:pt>
                <c:pt idx="1">
                  <c:v>0.22222222222222221</c:v>
                </c:pt>
                <c:pt idx="2">
                  <c:v>0.22422422422422422</c:v>
                </c:pt>
                <c:pt idx="3">
                  <c:v>0.15715715715715717</c:v>
                </c:pt>
                <c:pt idx="4">
                  <c:v>0.15215215215215216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9-4A24-867B-C962099D460F}"/>
            </c:ext>
          </c:extLst>
        </c:ser>
        <c:ser>
          <c:idx val="1"/>
          <c:order val="1"/>
          <c:tx>
            <c:strRef>
              <c:f>'Survey Responses'!$G$1</c:f>
              <c:strCache>
                <c:ptCount val="1"/>
                <c:pt idx="0">
                  <c:v>After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'Survey Responses'!$E$2:$E$6</c:f>
              <c:strCache>
                <c:ptCount val="5"/>
                <c:pt idx="0">
                  <c:v>Hate it</c:v>
                </c:pt>
                <c:pt idx="1">
                  <c:v>Not much interest</c:v>
                </c:pt>
                <c:pt idx="2">
                  <c:v>Just ok</c:v>
                </c:pt>
                <c:pt idx="3">
                  <c:v>Interesting</c:v>
                </c:pt>
                <c:pt idx="4">
                  <c:v>Love it</c:v>
                </c:pt>
              </c:strCache>
            </c:strRef>
          </c:cat>
          <c:val>
            <c:numRef>
              <c:f>'Survey Responses'!$G$2:$G$6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0.1891891891891892</c:v>
                </c:pt>
                <c:pt idx="3">
                  <c:v>0.46246246246246248</c:v>
                </c:pt>
                <c:pt idx="4">
                  <c:v>0.34834834834834832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79-4A24-867B-C962099D46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09819952"/>
        <c:axId val="909820912"/>
      </c:barChart>
      <c:catAx>
        <c:axId val="909819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820912"/>
        <c:crosses val="autoZero"/>
        <c:auto val="1"/>
        <c:lblAlgn val="ctr"/>
        <c:lblOffset val="100"/>
        <c:noMultiLvlLbl val="0"/>
      </c:catAx>
      <c:valAx>
        <c:axId val="909820912"/>
        <c:scaling>
          <c:orientation val="minMax"/>
          <c:max val="0.5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81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7</xdr:row>
      <xdr:rowOff>209550</xdr:rowOff>
    </xdr:from>
    <xdr:to>
      <xdr:col>10</xdr:col>
      <xdr:colOff>99060</xdr:colOff>
      <xdr:row>22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ED11FB-1B1A-F47B-A2F4-8E23F070C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144780</xdr:colOff>
      <xdr:row>16</xdr:row>
      <xdr:rowOff>53340</xdr:rowOff>
    </xdr:from>
    <xdr:to>
      <xdr:col>9</xdr:col>
      <xdr:colOff>548640</xdr:colOff>
      <xdr:row>20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B717322-783E-531C-0C87-A3C278779D04}"/>
            </a:ext>
          </a:extLst>
        </xdr:cNvPr>
        <xdr:cNvSpPr txBox="1"/>
      </xdr:nvSpPr>
      <xdr:spPr>
        <a:xfrm>
          <a:off x="5448300" y="3147060"/>
          <a:ext cx="1752600" cy="792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Bitter Truth:</a:t>
          </a:r>
          <a:r>
            <a:rPr lang="en-IN" sz="1100"/>
            <a:t> Rates doubled in Men and Women from 1990 to 2022!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8</xdr:row>
      <xdr:rowOff>133350</xdr:rowOff>
    </xdr:from>
    <xdr:to>
      <xdr:col>12</xdr:col>
      <xdr:colOff>403860</xdr:colOff>
      <xdr:row>22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93CBDE-D307-BAF5-27EF-678149954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480060</xdr:colOff>
      <xdr:row>17</xdr:row>
      <xdr:rowOff>15240</xdr:rowOff>
    </xdr:from>
    <xdr:to>
      <xdr:col>12</xdr:col>
      <xdr:colOff>388620</xdr:colOff>
      <xdr:row>22</xdr:row>
      <xdr:rowOff>91440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3535CA1-7F01-D2C9-014B-702B3D59AB6F}"/>
            </a:ext>
          </a:extLst>
        </xdr:cNvPr>
        <xdr:cNvSpPr txBox="1"/>
      </xdr:nvSpPr>
      <xdr:spPr>
        <a:xfrm>
          <a:off x="7010400" y="3573780"/>
          <a:ext cx="2346960" cy="1066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n-IN" sz="1100"/>
            <a:t>Andaman &amp; Nicobar has 60% more coastline than Gujarat(</a:t>
          </a:r>
          <a:r>
            <a:rPr lang="en-IN" sz="1100" baseline="0"/>
            <a:t> second state with highest access to sea)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 baseline="0"/>
            <a:t>There are 572 Islands in Andaman &amp; Nicobar!!</a:t>
          </a:r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369570</xdr:rowOff>
    </xdr:from>
    <xdr:to>
      <xdr:col>11</xdr:col>
      <xdr:colOff>228600</xdr:colOff>
      <xdr:row>19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EAF90B-DFDA-5F4D-6240-E4BF9429E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480060</xdr:colOff>
      <xdr:row>5</xdr:row>
      <xdr:rowOff>106680</xdr:rowOff>
    </xdr:from>
    <xdr:to>
      <xdr:col>6</xdr:col>
      <xdr:colOff>548640</xdr:colOff>
      <xdr:row>11</xdr:row>
      <xdr:rowOff>7620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DA8D416-00DB-2D43-B889-6E193EAF2CE4}"/>
            </a:ext>
          </a:extLst>
        </xdr:cNvPr>
        <xdr:cNvSpPr txBox="1"/>
      </xdr:nvSpPr>
      <xdr:spPr>
        <a:xfrm>
          <a:off x="3147060" y="1219200"/>
          <a:ext cx="1897380" cy="99822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>
              <a:solidFill>
                <a:schemeClr val="bg1"/>
              </a:solidFill>
            </a:rPr>
            <a:t>The mean temperature shows year-to-year fluctuations but an overall trend from 2009 to 2023, is</a:t>
          </a:r>
          <a:r>
            <a:rPr lang="en-IN" baseline="0">
              <a:solidFill>
                <a:schemeClr val="bg1"/>
              </a:solidFill>
            </a:rPr>
            <a:t> slightly </a:t>
          </a:r>
          <a:r>
            <a:rPr lang="en-IN">
              <a:solidFill>
                <a:schemeClr val="bg1"/>
              </a:solidFill>
            </a:rPr>
            <a:t>upward.</a:t>
          </a:r>
        </a:p>
        <a:p>
          <a:endParaRPr lang="en-IN" sz="1100">
            <a:solidFill>
              <a:srgbClr val="FF0000"/>
            </a:solidFill>
          </a:endParaRPr>
        </a:p>
        <a:p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8</xdr:row>
      <xdr:rowOff>95250</xdr:rowOff>
    </xdr:from>
    <xdr:to>
      <xdr:col>6</xdr:col>
      <xdr:colOff>38100</xdr:colOff>
      <xdr:row>27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C8625F-08DC-471D-2298-53001A956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838200</xdr:colOff>
      <xdr:row>9</xdr:row>
      <xdr:rowOff>76200</xdr:rowOff>
    </xdr:from>
    <xdr:to>
      <xdr:col>5</xdr:col>
      <xdr:colOff>1424940</xdr:colOff>
      <xdr:row>11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6B01C41-A761-492D-C3BA-191138BE60F7}"/>
            </a:ext>
          </a:extLst>
        </xdr:cNvPr>
        <xdr:cNvSpPr txBox="1"/>
      </xdr:nvSpPr>
      <xdr:spPr>
        <a:xfrm>
          <a:off x="4259580" y="1737360"/>
          <a:ext cx="5227320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/>
            <a:t>Social</a:t>
          </a:r>
          <a:r>
            <a:rPr lang="en-IN" sz="1100" baseline="0"/>
            <a:t> media and Search dominates(56%) as the primary gateway for online news consumption. Does this indicate a decline of traditional channels??</a:t>
          </a:r>
          <a:endParaRPr lang="en-IN" sz="1100"/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0.4194</cdr:x>
      <cdr:y>0.41693</cdr:y>
    </cdr:from>
    <cdr:to>
      <cdr:x>0.57787</cdr:x>
      <cdr:y>0.66345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FEE1EA8-5806-CD19-B5D1-DA32D5965894}"/>
            </a:ext>
          </a:extLst>
        </cdr:cNvPr>
        <cdr:cNvSpPr txBox="1"/>
      </cdr:nvSpPr>
      <cdr:spPr>
        <a:xfrm xmlns:a="http://schemas.openxmlformats.org/drawingml/2006/main">
          <a:off x="2339340" y="1482090"/>
          <a:ext cx="883920" cy="876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IN" sz="1400" kern="1200">
              <a:solidFill>
                <a:schemeClr val="bg2">
                  <a:lumMod val="75000"/>
                </a:schemeClr>
              </a:solidFill>
            </a:rPr>
            <a:t>Online</a:t>
          </a:r>
        </a:p>
        <a:p xmlns:a="http://schemas.openxmlformats.org/drawingml/2006/main">
          <a:pPr algn="ctr"/>
          <a:r>
            <a:rPr lang="en-IN" sz="1400" kern="1200">
              <a:solidFill>
                <a:schemeClr val="bg2">
                  <a:lumMod val="75000"/>
                </a:schemeClr>
              </a:solidFill>
            </a:rPr>
            <a:t>News</a:t>
          </a:r>
          <a:r>
            <a:rPr lang="en-IN" sz="1400" kern="1200" baseline="0">
              <a:solidFill>
                <a:schemeClr val="bg2">
                  <a:lumMod val="75000"/>
                </a:schemeClr>
              </a:solidFill>
            </a:rPr>
            <a:t> </a:t>
          </a:r>
        </a:p>
        <a:p xmlns:a="http://schemas.openxmlformats.org/drawingml/2006/main">
          <a:pPr algn="ctr"/>
          <a:r>
            <a:rPr lang="en-IN" sz="1400" kern="1200" baseline="0">
              <a:solidFill>
                <a:schemeClr val="bg2">
                  <a:lumMod val="75000"/>
                </a:schemeClr>
              </a:solidFill>
            </a:rPr>
            <a:t>Gateway</a:t>
          </a:r>
          <a:endParaRPr lang="en-IN" sz="1400" kern="1200">
            <a:solidFill>
              <a:schemeClr val="bg2">
                <a:lumMod val="75000"/>
              </a:schemeClr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4</xdr:row>
      <xdr:rowOff>26670</xdr:rowOff>
    </xdr:from>
    <xdr:to>
      <xdr:col>10</xdr:col>
      <xdr:colOff>335280</xdr:colOff>
      <xdr:row>19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FE7B05-EA00-F58A-15BE-7D06DA7F1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3810</xdr:rowOff>
    </xdr:from>
    <xdr:to>
      <xdr:col>10</xdr:col>
      <xdr:colOff>304800</xdr:colOff>
      <xdr:row>17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0F76DF-F7DE-B215-36F3-F70C2C650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12</xdr:row>
      <xdr:rowOff>121920</xdr:rowOff>
    </xdr:to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C0E041B4-F919-7264-CA2E-E4F6859008A8}"/>
            </a:ext>
          </a:extLst>
        </xdr:cNvPr>
        <xdr:cNvSpPr>
          <a:spLocks noChangeAspect="1" noChangeArrowheads="1"/>
        </xdr:cNvSpPr>
      </xdr:nvSpPr>
      <xdr:spPr bwMode="auto">
        <a:xfrm>
          <a:off x="8930640" y="211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655320</xdr:colOff>
      <xdr:row>7</xdr:row>
      <xdr:rowOff>179070</xdr:rowOff>
    </xdr:from>
    <xdr:to>
      <xdr:col>9</xdr:col>
      <xdr:colOff>240780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ED762C-E1AF-C5FD-F9C2-4F18A70BC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7D98-EBC6-4A2C-B6C3-48E2AB3291BD}">
  <dimension ref="A1:C8"/>
  <sheetViews>
    <sheetView workbookViewId="0">
      <selection activeCell="C26" sqref="C26"/>
    </sheetView>
  </sheetViews>
  <sheetFormatPr defaultRowHeight="14.4" x14ac:dyDescent="0.3"/>
  <cols>
    <col min="1" max="1" width="12.33203125" customWidth="1"/>
    <col min="2" max="2" width="15.109375" customWidth="1"/>
    <col min="6" max="6" width="12.44140625" bestFit="1" customWidth="1"/>
    <col min="7" max="8" width="10.77734375" bestFit="1" customWidth="1"/>
  </cols>
  <sheetData>
    <row r="1" spans="1:3" ht="15.75" customHeight="1" x14ac:dyDescent="0.3">
      <c r="A1" s="29" t="s">
        <v>0</v>
      </c>
      <c r="B1" s="30"/>
      <c r="C1" s="31"/>
    </row>
    <row r="2" spans="1:3" ht="15.6" x14ac:dyDescent="0.3">
      <c r="A2" s="11" t="s">
        <v>1</v>
      </c>
      <c r="B2" s="12" t="s">
        <v>2</v>
      </c>
      <c r="C2" s="12" t="s">
        <v>3</v>
      </c>
    </row>
    <row r="3" spans="1:3" ht="15.6" x14ac:dyDescent="0.3">
      <c r="A3" s="8">
        <v>1990</v>
      </c>
      <c r="B3" s="9" t="s">
        <v>4</v>
      </c>
      <c r="C3" s="10">
        <v>0.12</v>
      </c>
    </row>
    <row r="4" spans="1:3" ht="15.6" x14ac:dyDescent="0.3">
      <c r="A4" s="8">
        <v>1990</v>
      </c>
      <c r="B4" s="9" t="s">
        <v>5</v>
      </c>
      <c r="C4" s="10">
        <v>0.11</v>
      </c>
    </row>
    <row r="5" spans="1:3" ht="15.6" x14ac:dyDescent="0.3">
      <c r="A5" s="8">
        <v>2022</v>
      </c>
      <c r="B5" s="9" t="s">
        <v>4</v>
      </c>
      <c r="C5" s="10">
        <v>0.24</v>
      </c>
    </row>
    <row r="6" spans="1:3" ht="15.6" x14ac:dyDescent="0.3">
      <c r="A6" s="8">
        <v>2022</v>
      </c>
      <c r="B6" s="9" t="s">
        <v>5</v>
      </c>
      <c r="C6" s="10">
        <v>0.21</v>
      </c>
    </row>
    <row r="7" spans="1:3" ht="17.399999999999999" x14ac:dyDescent="0.3">
      <c r="A7" s="2"/>
      <c r="B7" s="3"/>
    </row>
    <row r="8" spans="1:3" ht="17.399999999999999" x14ac:dyDescent="0.3">
      <c r="A8" s="2"/>
      <c r="B8" s="3"/>
    </row>
  </sheetData>
  <sortState xmlns:xlrd2="http://schemas.microsoft.com/office/spreadsheetml/2017/richdata2" ref="A2:B8">
    <sortCondition ref="B2:B8"/>
  </sortState>
  <mergeCells count="1"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65B-97EE-45FB-8A6E-A388A37B0C1B}">
  <dimension ref="A1:B13"/>
  <sheetViews>
    <sheetView workbookViewId="0">
      <selection activeCell="N21" sqref="N21"/>
    </sheetView>
  </sheetViews>
  <sheetFormatPr defaultRowHeight="15.6" x14ac:dyDescent="0.3"/>
  <cols>
    <col min="1" max="1" width="23.33203125" style="4" customWidth="1"/>
    <col min="2" max="2" width="18.5546875" style="4" customWidth="1"/>
  </cols>
  <sheetData>
    <row r="1" spans="1:2" ht="30.6" x14ac:dyDescent="0.3">
      <c r="A1" s="13" t="s">
        <v>6</v>
      </c>
      <c r="B1" s="13" t="s">
        <v>7</v>
      </c>
    </row>
    <row r="2" spans="1:2" x14ac:dyDescent="0.3">
      <c r="A2" s="13" t="s">
        <v>8</v>
      </c>
      <c r="B2" s="13">
        <v>31</v>
      </c>
    </row>
    <row r="3" spans="1:2" x14ac:dyDescent="0.3">
      <c r="A3" s="13" t="s">
        <v>9</v>
      </c>
      <c r="B3" s="13">
        <v>132</v>
      </c>
    </row>
    <row r="4" spans="1:2" x14ac:dyDescent="0.3">
      <c r="A4" s="13" t="s">
        <v>10</v>
      </c>
      <c r="B4" s="13">
        <v>158</v>
      </c>
    </row>
    <row r="5" spans="1:2" x14ac:dyDescent="0.3">
      <c r="A5" s="13" t="s">
        <v>11</v>
      </c>
      <c r="B5" s="13">
        <v>161</v>
      </c>
    </row>
    <row r="6" spans="1:2" x14ac:dyDescent="0.3">
      <c r="A6" s="13" t="s">
        <v>12</v>
      </c>
      <c r="B6" s="13">
        <v>280</v>
      </c>
    </row>
    <row r="7" spans="1:2" x14ac:dyDescent="0.3">
      <c r="A7" s="13" t="s">
        <v>13</v>
      </c>
      <c r="B7" s="13">
        <v>476</v>
      </c>
    </row>
    <row r="8" spans="1:2" x14ac:dyDescent="0.3">
      <c r="A8" s="13" t="s">
        <v>14</v>
      </c>
      <c r="B8" s="13">
        <v>570</v>
      </c>
    </row>
    <row r="9" spans="1:2" x14ac:dyDescent="0.3">
      <c r="A9" s="13" t="s">
        <v>15</v>
      </c>
      <c r="B9" s="13">
        <v>653</v>
      </c>
    </row>
    <row r="10" spans="1:2" x14ac:dyDescent="0.3">
      <c r="A10" s="13" t="s">
        <v>16</v>
      </c>
      <c r="B10" s="13">
        <v>907</v>
      </c>
    </row>
    <row r="11" spans="1:2" x14ac:dyDescent="0.3">
      <c r="A11" s="13" t="s">
        <v>17</v>
      </c>
      <c r="B11" s="13">
        <v>974</v>
      </c>
    </row>
    <row r="12" spans="1:2" x14ac:dyDescent="0.3">
      <c r="A12" s="13" t="s">
        <v>18</v>
      </c>
      <c r="B12" s="14">
        <v>1215</v>
      </c>
    </row>
    <row r="13" spans="1:2" x14ac:dyDescent="0.3">
      <c r="A13" s="13" t="s">
        <v>19</v>
      </c>
      <c r="B13" s="14">
        <v>1962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96CA-D584-46A4-A14B-8CEC5E1F3384}">
  <dimension ref="A1:B16"/>
  <sheetViews>
    <sheetView workbookViewId="0">
      <selection activeCell="N9" sqref="N9"/>
    </sheetView>
  </sheetViews>
  <sheetFormatPr defaultRowHeight="14.4" x14ac:dyDescent="0.3"/>
  <cols>
    <col min="1" max="1" width="12.33203125" customWidth="1"/>
    <col min="2" max="2" width="17.6640625" customWidth="1"/>
  </cols>
  <sheetData>
    <row r="1" spans="1:2" ht="30" x14ac:dyDescent="0.3">
      <c r="A1" s="27" t="s">
        <v>1</v>
      </c>
      <c r="B1" s="27" t="s">
        <v>20</v>
      </c>
    </row>
    <row r="2" spans="1:2" x14ac:dyDescent="0.3">
      <c r="A2" s="28">
        <v>2009</v>
      </c>
      <c r="B2" s="28">
        <v>-7.1</v>
      </c>
    </row>
    <row r="3" spans="1:2" x14ac:dyDescent="0.3">
      <c r="A3" s="28">
        <v>2010</v>
      </c>
      <c r="B3" s="28">
        <v>-6.5</v>
      </c>
    </row>
    <row r="4" spans="1:2" x14ac:dyDescent="0.3">
      <c r="A4" s="28">
        <v>2011</v>
      </c>
      <c r="B4" s="28">
        <v>-6.6</v>
      </c>
    </row>
    <row r="5" spans="1:2" x14ac:dyDescent="0.3">
      <c r="A5" s="28">
        <v>2012</v>
      </c>
      <c r="B5" s="28">
        <v>-7.6</v>
      </c>
    </row>
    <row r="6" spans="1:2" x14ac:dyDescent="0.3">
      <c r="A6" s="28">
        <v>2013</v>
      </c>
      <c r="B6" s="28">
        <v>-6.8</v>
      </c>
    </row>
    <row r="7" spans="1:2" x14ac:dyDescent="0.3">
      <c r="A7" s="28">
        <v>2014</v>
      </c>
      <c r="B7" s="28">
        <v>-7.3</v>
      </c>
    </row>
    <row r="8" spans="1:2" x14ac:dyDescent="0.3">
      <c r="A8" s="28">
        <v>2015</v>
      </c>
      <c r="B8" s="28">
        <v>-6.9</v>
      </c>
    </row>
    <row r="9" spans="1:2" x14ac:dyDescent="0.3">
      <c r="A9" s="28">
        <v>2016</v>
      </c>
      <c r="B9" s="28">
        <v>-5.3</v>
      </c>
    </row>
    <row r="10" spans="1:2" x14ac:dyDescent="0.3">
      <c r="A10" s="28">
        <v>2017</v>
      </c>
      <c r="B10" s="28">
        <v>-5.0999999999999996</v>
      </c>
    </row>
    <row r="11" spans="1:2" x14ac:dyDescent="0.3">
      <c r="A11" s="28">
        <v>2018</v>
      </c>
      <c r="B11" s="28">
        <v>-7.2</v>
      </c>
    </row>
    <row r="12" spans="1:2" x14ac:dyDescent="0.3">
      <c r="A12" s="28">
        <v>2019</v>
      </c>
      <c r="B12" s="28">
        <v>-6.9</v>
      </c>
    </row>
    <row r="13" spans="1:2" x14ac:dyDescent="0.3">
      <c r="A13" s="28">
        <v>2020</v>
      </c>
      <c r="B13" s="28">
        <v>-5.9</v>
      </c>
    </row>
    <row r="14" spans="1:2" x14ac:dyDescent="0.3">
      <c r="A14" s="28">
        <v>2021</v>
      </c>
      <c r="B14" s="28">
        <v>-6.4</v>
      </c>
    </row>
    <row r="15" spans="1:2" x14ac:dyDescent="0.3">
      <c r="A15" s="28">
        <v>2022</v>
      </c>
      <c r="B15" s="28">
        <v>-5.6</v>
      </c>
    </row>
    <row r="16" spans="1:2" x14ac:dyDescent="0.3">
      <c r="A16" s="28">
        <v>2023</v>
      </c>
      <c r="B16" s="28">
        <v>-6.5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7148-CC04-4882-A836-C8A038EA1542}">
  <dimension ref="A1:B7"/>
  <sheetViews>
    <sheetView workbookViewId="0">
      <selection activeCell="H14" sqref="H14"/>
    </sheetView>
  </sheetViews>
  <sheetFormatPr defaultColWidth="22.5546875" defaultRowHeight="14.4" x14ac:dyDescent="0.3"/>
  <cols>
    <col min="1" max="1" width="27.33203125" customWidth="1"/>
  </cols>
  <sheetData>
    <row r="1" spans="1:2" ht="15.6" x14ac:dyDescent="0.3">
      <c r="A1" s="15" t="s">
        <v>21</v>
      </c>
      <c r="B1" s="16" t="s">
        <v>22</v>
      </c>
    </row>
    <row r="2" spans="1:2" x14ac:dyDescent="0.3">
      <c r="A2" s="17" t="s">
        <v>23</v>
      </c>
      <c r="B2" s="19">
        <v>3655</v>
      </c>
    </row>
    <row r="3" spans="1:2" x14ac:dyDescent="0.3">
      <c r="A3" s="17" t="s">
        <v>24</v>
      </c>
      <c r="B3" s="19">
        <v>5849</v>
      </c>
    </row>
    <row r="4" spans="1:2" x14ac:dyDescent="0.3">
      <c r="A4" s="17" t="s">
        <v>25</v>
      </c>
      <c r="B4" s="19">
        <v>6580</v>
      </c>
    </row>
    <row r="5" spans="1:2" x14ac:dyDescent="0.3">
      <c r="A5" s="17" t="s">
        <v>26</v>
      </c>
      <c r="B5" s="19">
        <v>16084</v>
      </c>
    </row>
    <row r="6" spans="1:2" x14ac:dyDescent="0.3">
      <c r="A6" s="17" t="s">
        <v>27</v>
      </c>
      <c r="B6" s="19">
        <v>18277</v>
      </c>
    </row>
    <row r="7" spans="1:2" x14ac:dyDescent="0.3">
      <c r="A7" s="17" t="s">
        <v>28</v>
      </c>
      <c r="B7" s="19">
        <v>21201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6ADE-2E9F-4310-8435-672DA776EE49}">
  <dimension ref="A1:B14"/>
  <sheetViews>
    <sheetView workbookViewId="0">
      <selection activeCell="H24" sqref="H24"/>
    </sheetView>
  </sheetViews>
  <sheetFormatPr defaultRowHeight="14.4" x14ac:dyDescent="0.3"/>
  <cols>
    <col min="1" max="1" width="15.109375" customWidth="1"/>
    <col min="2" max="2" width="22" customWidth="1"/>
  </cols>
  <sheetData>
    <row r="1" spans="1:2" ht="15.6" x14ac:dyDescent="0.3">
      <c r="A1" s="32" t="s">
        <v>29</v>
      </c>
      <c r="B1" s="33"/>
    </row>
    <row r="2" spans="1:2" ht="15.6" x14ac:dyDescent="0.3">
      <c r="A2" s="21" t="s">
        <v>30</v>
      </c>
      <c r="B2" s="22" t="s">
        <v>31</v>
      </c>
    </row>
    <row r="3" spans="1:2" x14ac:dyDescent="0.3">
      <c r="A3" s="20" t="s">
        <v>32</v>
      </c>
      <c r="B3" s="18">
        <v>8.6999999999999993</v>
      </c>
    </row>
    <row r="4" spans="1:2" x14ac:dyDescent="0.3">
      <c r="A4" s="17" t="s">
        <v>33</v>
      </c>
      <c r="B4" s="18">
        <v>8.1999999999999993</v>
      </c>
    </row>
    <row r="5" spans="1:2" x14ac:dyDescent="0.3">
      <c r="A5" s="17" t="s">
        <v>34</v>
      </c>
      <c r="B5" s="18">
        <v>8.6999999999999993</v>
      </c>
    </row>
    <row r="6" spans="1:2" x14ac:dyDescent="0.3">
      <c r="A6" s="17" t="s">
        <v>35</v>
      </c>
      <c r="B6" s="18">
        <v>8.6</v>
      </c>
    </row>
    <row r="7" spans="1:2" x14ac:dyDescent="0.3">
      <c r="A7" s="17" t="s">
        <v>36</v>
      </c>
      <c r="B7" s="18">
        <v>9.3000000000000007</v>
      </c>
    </row>
    <row r="8" spans="1:2" x14ac:dyDescent="0.3">
      <c r="A8" s="17" t="s">
        <v>37</v>
      </c>
      <c r="B8" s="18">
        <v>8.4</v>
      </c>
    </row>
    <row r="9" spans="1:2" x14ac:dyDescent="0.3">
      <c r="A9" s="17" t="s">
        <v>38</v>
      </c>
      <c r="B9" s="18">
        <v>7.8</v>
      </c>
    </row>
    <row r="10" spans="1:2" x14ac:dyDescent="0.3">
      <c r="A10" s="17" t="s">
        <v>39</v>
      </c>
      <c r="B10" s="18">
        <v>7.8</v>
      </c>
    </row>
    <row r="11" spans="1:2" x14ac:dyDescent="0.3">
      <c r="A11" s="17" t="s">
        <v>40</v>
      </c>
      <c r="B11" s="18">
        <v>7.7</v>
      </c>
    </row>
    <row r="12" spans="1:2" x14ac:dyDescent="0.3">
      <c r="A12" s="17" t="s">
        <v>41</v>
      </c>
      <c r="B12" s="18">
        <v>8.1</v>
      </c>
    </row>
    <row r="13" spans="1:2" x14ac:dyDescent="0.3">
      <c r="A13" s="17" t="s">
        <v>42</v>
      </c>
      <c r="B13" s="18">
        <v>8.1</v>
      </c>
    </row>
    <row r="14" spans="1:2" x14ac:dyDescent="0.3">
      <c r="A14" s="20" t="s">
        <v>43</v>
      </c>
      <c r="B14" s="18">
        <v>8.4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B2B0-5816-4F1F-8CB9-28D6FDFF4E98}">
  <dimension ref="A1:B7"/>
  <sheetViews>
    <sheetView workbookViewId="0">
      <selection sqref="A1:B7"/>
    </sheetView>
  </sheetViews>
  <sheetFormatPr defaultRowHeight="14.4" x14ac:dyDescent="0.3"/>
  <cols>
    <col min="1" max="1" width="13.33203125" customWidth="1"/>
    <col min="2" max="2" width="20.5546875" customWidth="1"/>
  </cols>
  <sheetData>
    <row r="1" spans="1:2" ht="30.6" x14ac:dyDescent="0.3">
      <c r="A1" s="25" t="s">
        <v>1</v>
      </c>
      <c r="B1" s="26" t="s">
        <v>44</v>
      </c>
    </row>
    <row r="2" spans="1:2" ht="15.6" x14ac:dyDescent="0.3">
      <c r="A2" s="23" t="s">
        <v>45</v>
      </c>
      <c r="B2" s="24">
        <v>1.2</v>
      </c>
    </row>
    <row r="3" spans="1:2" ht="15.6" x14ac:dyDescent="0.3">
      <c r="A3" s="23" t="s">
        <v>46</v>
      </c>
      <c r="B3" s="24">
        <v>3.2</v>
      </c>
    </row>
    <row r="4" spans="1:2" ht="15.6" x14ac:dyDescent="0.3">
      <c r="A4" s="23" t="s">
        <v>47</v>
      </c>
      <c r="B4" s="24">
        <v>4.2</v>
      </c>
    </row>
    <row r="5" spans="1:2" ht="15.6" x14ac:dyDescent="0.3">
      <c r="A5" s="23" t="s">
        <v>48</v>
      </c>
      <c r="B5" s="24">
        <v>5.7</v>
      </c>
    </row>
    <row r="6" spans="1:2" ht="15.6" x14ac:dyDescent="0.3">
      <c r="A6" s="23" t="s">
        <v>49</v>
      </c>
      <c r="B6" s="24">
        <v>6.4</v>
      </c>
    </row>
    <row r="7" spans="1:2" ht="15.6" x14ac:dyDescent="0.3">
      <c r="A7" s="23" t="s">
        <v>50</v>
      </c>
      <c r="B7" s="24">
        <v>7.57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5F698-7070-4B4C-94CF-4A5F3D2CD8EA}">
  <dimension ref="A1:G7"/>
  <sheetViews>
    <sheetView tabSelected="1" workbookViewId="0">
      <selection activeCell="O21" sqref="O21"/>
    </sheetView>
  </sheetViews>
  <sheetFormatPr defaultRowHeight="14.4" x14ac:dyDescent="0.3"/>
  <cols>
    <col min="1" max="1" width="19.88671875" customWidth="1"/>
    <col min="2" max="2" width="9.44140625" customWidth="1"/>
    <col min="3" max="3" width="9.6640625" customWidth="1"/>
    <col min="5" max="5" width="19.6640625" customWidth="1"/>
    <col min="6" max="6" width="15.33203125" customWidth="1"/>
    <col min="7" max="7" width="11.6640625" customWidth="1"/>
  </cols>
  <sheetData>
    <row r="1" spans="1:7" ht="15.6" x14ac:dyDescent="0.3">
      <c r="A1" s="5" t="s">
        <v>51</v>
      </c>
      <c r="B1" s="6" t="s">
        <v>52</v>
      </c>
      <c r="C1" s="6" t="s">
        <v>53</v>
      </c>
      <c r="E1" s="5" t="s">
        <v>51</v>
      </c>
      <c r="F1" s="6" t="s">
        <v>52</v>
      </c>
      <c r="G1" s="6" t="s">
        <v>53</v>
      </c>
    </row>
    <row r="2" spans="1:7" ht="15.6" x14ac:dyDescent="0.3">
      <c r="A2" s="5" t="s">
        <v>54</v>
      </c>
      <c r="B2" s="5">
        <v>244</v>
      </c>
      <c r="C2" s="5">
        <v>0</v>
      </c>
      <c r="E2" s="5" t="s">
        <v>54</v>
      </c>
      <c r="F2" s="7">
        <f>B2/$B$7</f>
        <v>0.24424424424424424</v>
      </c>
      <c r="G2" s="7">
        <f>C2/$C$7</f>
        <v>0</v>
      </c>
    </row>
    <row r="3" spans="1:7" ht="15.6" x14ac:dyDescent="0.3">
      <c r="A3" s="5" t="s">
        <v>55</v>
      </c>
      <c r="B3" s="5">
        <v>222</v>
      </c>
      <c r="C3" s="5">
        <v>0</v>
      </c>
      <c r="E3" s="5" t="s">
        <v>55</v>
      </c>
      <c r="F3" s="7">
        <f t="shared" ref="F3:F6" si="0">B3/$B$7</f>
        <v>0.22222222222222221</v>
      </c>
      <c r="G3" s="7">
        <f t="shared" ref="G3:G6" si="1">C3/$C$7</f>
        <v>0</v>
      </c>
    </row>
    <row r="4" spans="1:7" ht="15.6" x14ac:dyDescent="0.3">
      <c r="A4" s="5" t="s">
        <v>56</v>
      </c>
      <c r="B4" s="5">
        <v>224</v>
      </c>
      <c r="C4" s="5">
        <v>189</v>
      </c>
      <c r="E4" s="5" t="s">
        <v>56</v>
      </c>
      <c r="F4" s="7">
        <f t="shared" si="0"/>
        <v>0.22422422422422422</v>
      </c>
      <c r="G4" s="7">
        <f t="shared" si="1"/>
        <v>0.1891891891891892</v>
      </c>
    </row>
    <row r="5" spans="1:7" ht="15.6" x14ac:dyDescent="0.3">
      <c r="A5" s="5" t="s">
        <v>57</v>
      </c>
      <c r="B5" s="5">
        <v>157</v>
      </c>
      <c r="C5" s="5">
        <v>462</v>
      </c>
      <c r="E5" s="5" t="s">
        <v>57</v>
      </c>
      <c r="F5" s="7">
        <f t="shared" si="0"/>
        <v>0.15715715715715717</v>
      </c>
      <c r="G5" s="7">
        <f t="shared" si="1"/>
        <v>0.46246246246246248</v>
      </c>
    </row>
    <row r="6" spans="1:7" ht="15.6" x14ac:dyDescent="0.3">
      <c r="A6" s="5" t="s">
        <v>58</v>
      </c>
      <c r="B6" s="5">
        <v>152</v>
      </c>
      <c r="C6" s="5">
        <v>348</v>
      </c>
      <c r="E6" s="5" t="s">
        <v>58</v>
      </c>
      <c r="F6" s="7">
        <f t="shared" si="0"/>
        <v>0.15215215215215216</v>
      </c>
      <c r="G6" s="7">
        <f t="shared" si="1"/>
        <v>0.34834834834834832</v>
      </c>
    </row>
    <row r="7" spans="1:7" ht="15.6" x14ac:dyDescent="0.3">
      <c r="A7" s="5" t="s">
        <v>59</v>
      </c>
      <c r="B7" s="1">
        <f>SUM(B2:B6)</f>
        <v>999</v>
      </c>
      <c r="C7" s="1">
        <f>SUM(C2:C6)</f>
        <v>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7" ma:contentTypeDescription="Create a new document." ma:contentTypeScope="" ma:versionID="7e4e6166811e290efa71bd0307610fb2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b02d75aaf52b99117f1e6e7b190e2384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5808851E-B632-4270-BBAB-87EFDB0692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3E4C2F-754A-481A-9C26-BDAD46F223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15A9E5-35E3-490E-A4EF-E881564C0514}">
  <ds:schemaRefs>
    <ds:schemaRef ds:uri="http://schemas.microsoft.com/office/2006/metadata/properties"/>
    <ds:schemaRef ds:uri="http://schemas.microsoft.com/office/infopath/2007/PartnerControls"/>
    <ds:schemaRef ds:uri="b18f8198-02fb-408b-a649-baf04150ea28"/>
    <ds:schemaRef ds:uri="0f01b7b4-d4b6-47da-93c5-cffa90a406b9"/>
  </ds:schemaRefs>
</ds:datastoreItem>
</file>

<file path=customXml/itemProps4.xml><?xml version="1.0" encoding="utf-8"?>
<ds:datastoreItem xmlns:ds="http://schemas.openxmlformats.org/officeDocument/2006/customXml" ds:itemID="{82F49EAD-B2A5-42CE-BBE4-1C2A8EE5AE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Diabetes</vt:lpstr>
      <vt:lpstr>Length of Coastline</vt:lpstr>
      <vt:lpstr>Yearly Temperature</vt:lpstr>
      <vt:lpstr>News Gateway</vt:lpstr>
      <vt:lpstr>Traffic Accidents</vt:lpstr>
      <vt:lpstr>FIFA World Cup Revenues</vt:lpstr>
      <vt:lpstr>Survey Responses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Lopamudra Bera</dc:creator>
  <cp:keywords/>
  <dc:description/>
  <cp:lastModifiedBy>Bharat kumar</cp:lastModifiedBy>
  <cp:revision/>
  <dcterms:created xsi:type="dcterms:W3CDTF">2024-11-21T06:42:30Z</dcterms:created>
  <dcterms:modified xsi:type="dcterms:W3CDTF">2025-12-18T14:38:03Z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