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ra\OneDrive\Documents\Data Analytics NIIT\PGDS datasets\"/>
    </mc:Choice>
  </mc:AlternateContent>
  <xr:revisionPtr revIDLastSave="0" documentId="13_ncr:1_{590809CE-916C-40D5-AAA2-6A544E93D84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Genre" sheetId="2" r:id="rId1"/>
    <sheet name="Task 1" sheetId="4" r:id="rId2"/>
    <sheet name="Task 2" sheetId="1" r:id="rId3"/>
    <sheet name="Task 3" sheetId="3" r:id="rId4"/>
  </sheets>
  <definedNames>
    <definedName name="Category">'Task 1'!$A$69:$A$70</definedName>
    <definedName name="SubCategory">'Task 1'!$B$69:$B$72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2" i="3"/>
  <c r="J31" i="1"/>
  <c r="J3" i="1"/>
  <c r="B4" i="3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</calcChain>
</file>

<file path=xl/sharedStrings.xml><?xml version="1.0" encoding="utf-8"?>
<sst xmlns="http://schemas.openxmlformats.org/spreadsheetml/2006/main" count="156" uniqueCount="95">
  <si>
    <t>Genre Code</t>
  </si>
  <si>
    <t>Genre Name</t>
  </si>
  <si>
    <t>Adventure</t>
  </si>
  <si>
    <t>Action</t>
  </si>
  <si>
    <t>Fantasy</t>
  </si>
  <si>
    <t>Sci-Fi</t>
  </si>
  <si>
    <t>Drama</t>
  </si>
  <si>
    <t>Comedy</t>
  </si>
  <si>
    <t>Thriller</t>
  </si>
  <si>
    <t>Sports</t>
  </si>
  <si>
    <t>Column Name</t>
  </si>
  <si>
    <t xml:space="preserve">Category (Qualitative/Quantitative) </t>
  </si>
  <si>
    <t xml:space="preserve">Sub-Category (Nominal/Ordinal/Discrete/Continuous) </t>
  </si>
  <si>
    <t>Movie ID</t>
  </si>
  <si>
    <t>Movie Name</t>
  </si>
  <si>
    <t>Release Date</t>
  </si>
  <si>
    <t>Release Year</t>
  </si>
  <si>
    <t>Total Gross 
(in ₹ Crores)</t>
  </si>
  <si>
    <t>Review Rating</t>
  </si>
  <si>
    <t>Number of Days Movie Run</t>
  </si>
  <si>
    <t>Language</t>
  </si>
  <si>
    <t>Qualitative</t>
  </si>
  <si>
    <t>Nominal</t>
  </si>
  <si>
    <t>Quantitative</t>
  </si>
  <si>
    <t>Ordinal</t>
  </si>
  <si>
    <t>Discrete</t>
  </si>
  <si>
    <t>Continuous</t>
  </si>
  <si>
    <t>M101</t>
  </si>
  <si>
    <t>Pathaan</t>
  </si>
  <si>
    <t>Hindi</t>
  </si>
  <si>
    <t>M102</t>
  </si>
  <si>
    <t>Jawan</t>
  </si>
  <si>
    <t>M103</t>
  </si>
  <si>
    <t>Gadar 2</t>
  </si>
  <si>
    <t>M104</t>
  </si>
  <si>
    <t>Brahmastra</t>
  </si>
  <si>
    <t>M105</t>
  </si>
  <si>
    <t>Rocky Aur Rani Ki Prem Kahani</t>
  </si>
  <si>
    <t>M106</t>
  </si>
  <si>
    <t>RRR</t>
  </si>
  <si>
    <t>Telugu</t>
  </si>
  <si>
    <t>M107</t>
  </si>
  <si>
    <t>KGF: Chapter 2</t>
  </si>
  <si>
    <t>Kannada</t>
  </si>
  <si>
    <t>M108</t>
  </si>
  <si>
    <t>Kantara</t>
  </si>
  <si>
    <t>M109</t>
  </si>
  <si>
    <t>Vikram</t>
  </si>
  <si>
    <t>Tamil</t>
  </si>
  <si>
    <t>M110</t>
  </si>
  <si>
    <t>Ponniyin Selvan: Part 1</t>
  </si>
  <si>
    <t>M111</t>
  </si>
  <si>
    <t>Drishyam 2</t>
  </si>
  <si>
    <t>M112</t>
  </si>
  <si>
    <t>Bhool Bhulaiyaa 2</t>
  </si>
  <si>
    <t>M113</t>
  </si>
  <si>
    <t>Bhediya</t>
  </si>
  <si>
    <t>M114</t>
  </si>
  <si>
    <t>83</t>
  </si>
  <si>
    <t>M115</t>
  </si>
  <si>
    <t>Pushpa: The Rise</t>
  </si>
  <si>
    <t>M116</t>
  </si>
  <si>
    <t>Sooryavanshi</t>
  </si>
  <si>
    <t>M117</t>
  </si>
  <si>
    <t>Gangubai Kathiawadi</t>
  </si>
  <si>
    <t>M118</t>
  </si>
  <si>
    <t>Sita Ramam</t>
  </si>
  <si>
    <t>M119</t>
  </si>
  <si>
    <t>Vakeel Saab</t>
  </si>
  <si>
    <t>M120</t>
  </si>
  <si>
    <t>The Kashmir Files</t>
  </si>
  <si>
    <t>M121</t>
  </si>
  <si>
    <t>Adipurush</t>
  </si>
  <si>
    <t>M122</t>
  </si>
  <si>
    <t>Attarintiki Daredi</t>
  </si>
  <si>
    <t>M123</t>
  </si>
  <si>
    <t>Sardar Udham Singh</t>
  </si>
  <si>
    <t>M124</t>
  </si>
  <si>
    <t>Sultan</t>
  </si>
  <si>
    <t>M125</t>
  </si>
  <si>
    <t>Queen</t>
  </si>
  <si>
    <t>M126</t>
  </si>
  <si>
    <t>2.0</t>
  </si>
  <si>
    <t>M127</t>
  </si>
  <si>
    <t>Kesari</t>
  </si>
  <si>
    <t>M128</t>
  </si>
  <si>
    <t>Dangal</t>
  </si>
  <si>
    <t>M129</t>
  </si>
  <si>
    <t>Raat Akeli Hai</t>
  </si>
  <si>
    <t>M130</t>
  </si>
  <si>
    <t xml:space="preserve">Task 3: Apply conditional logic to extract insights from movie dataset.
</t>
  </si>
  <si>
    <t>Enter your formula below</t>
  </si>
  <si>
    <t>3.1 Calculate the total gross for movies in the "Action" genre that ran for more than 200 days in theatres.</t>
  </si>
  <si>
    <t xml:space="preserve">3.2 Calculate the average total gross for all movies in the "Action" genre and have a rating of 5 or more. </t>
  </si>
  <si>
    <t>3.3 Count the number of movies in the "Thriller" genre that earned more than ₹500 crores and had a rating of 8 or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</si>
</sst>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dd/mmm/yyyy"/>
    <numFmt numFmtId="165" formatCode="_ &quot;₹&quot;\ * #,##0_ ;_ &quot;₹&quot;\ * \-#,##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1" applyNumberFormat="1" applyFont="1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4" fillId="5" borderId="1" xfId="0" applyFont="1" applyFill="1" applyBorder="1" applyAlignment="1">
      <alignment wrapText="1"/>
    </xf>
    <xf numFmtId="0" fontId="0" fillId="7" borderId="1" xfId="0" applyFill="1" applyBorder="1"/>
    <xf numFmtId="0" fontId="0" fillId="6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45721</xdr:colOff>
      <xdr:row>0</xdr:row>
      <xdr:rowOff>15240</xdr:rowOff>
    </xdr:from>
    <xdr:to>
      <xdr:col>11</xdr:col>
      <xdr:colOff>15241</xdr:colOff>
      <xdr:row>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A70B72-F7D4-4379-B358-8488876EB01E}"/>
            </a:ext>
          </a:extLst>
        </xdr:cNvPr>
        <xdr:cNvSpPr txBox="1"/>
      </xdr:nvSpPr>
      <xdr:spPr>
        <a:xfrm>
          <a:off x="6979921" y="15240"/>
          <a:ext cx="4846320" cy="1036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1: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row, select the category in column B</a:t>
          </a: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 each row, select the sub-category in column 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0</xdr:row>
      <xdr:rowOff>76199</xdr:rowOff>
    </xdr:from>
    <xdr:to>
      <xdr:col>16</xdr:col>
      <xdr:colOff>95250</xdr:colOff>
      <xdr:row>18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CEB956-AB86-4A45-94CA-35730F4F5F59}"/>
            </a:ext>
          </a:extLst>
        </xdr:cNvPr>
        <xdr:cNvSpPr txBox="1"/>
      </xdr:nvSpPr>
      <xdr:spPr>
        <a:xfrm>
          <a:off x="9071264" y="76199"/>
          <a:ext cx="3638550" cy="34290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2: </a:t>
          </a: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2.1 Update the column J (Genre Name) in the “Movies” Sheet. Pick up the corresponding Genre Name from the “Genre” sheet.</a:t>
          </a:r>
          <a:endParaRPr lang="en-IN" sz="1400">
            <a:effectLst/>
            <a:latin typeface="+mn-lt"/>
          </a:endParaRP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2.2. Ensure the Genre Name against each movie.</a:t>
          </a:r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Enter the formula in cell J2 to extract the "Genre Name" from "Genre" sheet based on the "Genre Code".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Check the formula if it extract the correct name based on the code.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Copy the formula to other rows and check.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621323</xdr:colOff>
      <xdr:row>4</xdr:row>
      <xdr:rowOff>134815</xdr:rowOff>
    </xdr:from>
    <xdr:to>
      <xdr:col>1</xdr:col>
      <xdr:colOff>2028093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0D73B-9956-4F62-A06E-DFE4A76F51A1}"/>
            </a:ext>
          </a:extLst>
        </xdr:cNvPr>
        <xdr:cNvSpPr txBox="1"/>
      </xdr:nvSpPr>
      <xdr:spPr>
        <a:xfrm>
          <a:off x="621323" y="1453661"/>
          <a:ext cx="7555524" cy="139504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3: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of the sub-tasks, enter the correct formula in the B2 (for 3.1), B3 (for 3.2) and B4 (for 3.3)</a:t>
          </a:r>
        </a:p>
        <a:p>
          <a:pPr marL="0" indent="0" algn="l"/>
          <a:endParaRPr lang="en-US" sz="1600" b="0" i="0" u="none" strike="noStrike" baseline="0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Make sure you have entered the correct formula for correct answer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1" sqref="B11"/>
    </sheetView>
  </sheetViews>
  <sheetFormatPr defaultRowHeight="14.4" x14ac:dyDescent="0.3"/>
  <cols>
    <col min="1" max="3" width="1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101</v>
      </c>
      <c r="B2" t="s">
        <v>2</v>
      </c>
    </row>
    <row r="3" spans="1:2" x14ac:dyDescent="0.3">
      <c r="A3">
        <v>102</v>
      </c>
      <c r="B3" t="s">
        <v>3</v>
      </c>
    </row>
    <row r="4" spans="1:2" x14ac:dyDescent="0.3">
      <c r="A4">
        <v>103</v>
      </c>
      <c r="B4" t="s">
        <v>4</v>
      </c>
    </row>
    <row r="5" spans="1:2" x14ac:dyDescent="0.3">
      <c r="A5">
        <v>104</v>
      </c>
      <c r="B5" t="s">
        <v>5</v>
      </c>
    </row>
    <row r="6" spans="1:2" x14ac:dyDescent="0.3">
      <c r="A6">
        <v>105</v>
      </c>
      <c r="B6" t="s">
        <v>6</v>
      </c>
    </row>
    <row r="7" spans="1:2" x14ac:dyDescent="0.3">
      <c r="A7">
        <v>106</v>
      </c>
      <c r="B7" t="s">
        <v>7</v>
      </c>
    </row>
    <row r="8" spans="1:2" x14ac:dyDescent="0.3">
      <c r="A8">
        <v>107</v>
      </c>
      <c r="B8" t="s">
        <v>8</v>
      </c>
    </row>
    <row r="9" spans="1:2" x14ac:dyDescent="0.3">
      <c r="A9">
        <v>108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4" sqref="C14"/>
    </sheetView>
  </sheetViews>
  <sheetFormatPr defaultRowHeight="14.4" x14ac:dyDescent="0.3"/>
  <cols>
    <col min="1" max="1" width="23.5546875" bestFit="1" customWidth="1"/>
    <col min="2" max="2" width="30.6640625" bestFit="1" customWidth="1"/>
    <col min="3" max="3" width="46.88671875" bestFit="1" customWidth="1"/>
  </cols>
  <sheetData>
    <row r="1" spans="1:3" ht="22.8" customHeight="1" x14ac:dyDescent="0.3">
      <c r="A1" s="2" t="s">
        <v>10</v>
      </c>
      <c r="B1" s="11" t="s">
        <v>11</v>
      </c>
      <c r="C1" s="11" t="s">
        <v>12</v>
      </c>
    </row>
    <row r="2" spans="1:3" x14ac:dyDescent="0.3">
      <c r="A2" s="2" t="s">
        <v>13</v>
      </c>
      <c r="B2" s="10" t="s">
        <v>21</v>
      </c>
      <c r="C2" s="10" t="s">
        <v>24</v>
      </c>
    </row>
    <row r="3" spans="1:3" x14ac:dyDescent="0.3">
      <c r="A3" s="2" t="s">
        <v>14</v>
      </c>
      <c r="B3" s="10" t="s">
        <v>21</v>
      </c>
      <c r="C3" s="10" t="s">
        <v>22</v>
      </c>
    </row>
    <row r="4" spans="1:3" x14ac:dyDescent="0.3">
      <c r="A4" s="2" t="s">
        <v>0</v>
      </c>
      <c r="B4" s="10" t="s">
        <v>21</v>
      </c>
      <c r="C4" s="10" t="s">
        <v>24</v>
      </c>
    </row>
    <row r="5" spans="1:3" x14ac:dyDescent="0.3">
      <c r="A5" s="2" t="s">
        <v>15</v>
      </c>
      <c r="B5" s="10" t="s">
        <v>21</v>
      </c>
      <c r="C5" s="10" t="s">
        <v>24</v>
      </c>
    </row>
    <row r="6" spans="1:3" x14ac:dyDescent="0.3">
      <c r="A6" s="2" t="s">
        <v>16</v>
      </c>
      <c r="B6" s="10" t="s">
        <v>21</v>
      </c>
      <c r="C6" s="10" t="s">
        <v>24</v>
      </c>
    </row>
    <row r="7" spans="1:3" x14ac:dyDescent="0.3">
      <c r="A7" s="2" t="s">
        <v>17</v>
      </c>
      <c r="B7" s="10" t="s">
        <v>23</v>
      </c>
      <c r="C7" s="10" t="s">
        <v>26</v>
      </c>
    </row>
    <row r="8" spans="1:3" x14ac:dyDescent="0.3">
      <c r="A8" s="2" t="s">
        <v>18</v>
      </c>
      <c r="B8" s="10" t="s">
        <v>21</v>
      </c>
      <c r="C8" s="10" t="s">
        <v>24</v>
      </c>
    </row>
    <row r="9" spans="1:3" x14ac:dyDescent="0.3">
      <c r="A9" s="2" t="s">
        <v>19</v>
      </c>
      <c r="B9" s="10" t="s">
        <v>23</v>
      </c>
      <c r="C9" s="10" t="s">
        <v>25</v>
      </c>
    </row>
    <row r="10" spans="1:3" x14ac:dyDescent="0.3">
      <c r="A10" s="2" t="s">
        <v>20</v>
      </c>
      <c r="B10" s="10" t="s">
        <v>21</v>
      </c>
      <c r="C10" s="10" t="s">
        <v>22</v>
      </c>
    </row>
    <row r="11" spans="1:3" x14ac:dyDescent="0.3">
      <c r="A11" s="2" t="s">
        <v>1</v>
      </c>
      <c r="B11" s="10" t="s">
        <v>21</v>
      </c>
      <c r="C11" s="10" t="s">
        <v>22</v>
      </c>
    </row>
    <row r="68" spans="1:2" x14ac:dyDescent="0.3">
      <c r="A68" t="s">
        <v>11</v>
      </c>
      <c r="B68" t="s">
        <v>12</v>
      </c>
    </row>
    <row r="69" spans="1:2" x14ac:dyDescent="0.3">
      <c r="A69" t="s">
        <v>21</v>
      </c>
      <c r="B69" t="s">
        <v>22</v>
      </c>
    </row>
    <row r="70" spans="1:2" x14ac:dyDescent="0.3">
      <c r="A70" t="s">
        <v>23</v>
      </c>
      <c r="B70" t="s">
        <v>24</v>
      </c>
    </row>
    <row r="71" spans="1:2" x14ac:dyDescent="0.3">
      <c r="B71" t="s">
        <v>25</v>
      </c>
    </row>
    <row r="72" spans="1:2" x14ac:dyDescent="0.3">
      <c r="B72" t="s">
        <v>26</v>
      </c>
    </row>
  </sheetData>
  <dataValidations count="2">
    <dataValidation type="list" allowBlank="1" showInputMessage="1" showErrorMessage="1" sqref="B2:B11" xr:uid="{00000000-0002-0000-0100-000000000000}">
      <formula1>Category</formula1>
    </dataValidation>
    <dataValidation type="list" allowBlank="1" showInputMessage="1" showErrorMessage="1" sqref="C2:C11" xr:uid="{00000000-0002-0000-0100-000001000000}">
      <formula1>SubCategory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7" sqref="J7"/>
    </sheetView>
  </sheetViews>
  <sheetFormatPr defaultRowHeight="14.4" x14ac:dyDescent="0.3"/>
  <cols>
    <col min="1" max="1" width="8.5546875" bestFit="1" customWidth="1"/>
    <col min="2" max="2" width="29" customWidth="1"/>
    <col min="3" max="3" width="8.33203125" customWidth="1"/>
    <col min="4" max="4" width="12.88671875" bestFit="1" customWidth="1"/>
    <col min="5" max="5" width="9" customWidth="1"/>
    <col min="6" max="6" width="11.109375" customWidth="1"/>
    <col min="7" max="7" width="9" customWidth="1"/>
    <col min="8" max="8" width="18.33203125" customWidth="1"/>
    <col min="9" max="9" width="9.6640625" customWidth="1"/>
    <col min="10" max="10" width="14.5546875" bestFit="1" customWidth="1"/>
  </cols>
  <sheetData>
    <row r="1" spans="1:10" ht="29.4" customHeight="1" x14ac:dyDescent="0.3">
      <c r="A1" s="7" t="s">
        <v>13</v>
      </c>
      <c r="B1" s="7" t="s">
        <v>14</v>
      </c>
      <c r="C1" s="7" t="s">
        <v>0</v>
      </c>
      <c r="D1" s="7" t="s">
        <v>15</v>
      </c>
      <c r="E1" s="7" t="s">
        <v>16</v>
      </c>
      <c r="F1" s="7" t="s">
        <v>17</v>
      </c>
      <c r="G1" s="7" t="s">
        <v>18</v>
      </c>
      <c r="H1" s="13" t="s">
        <v>19</v>
      </c>
      <c r="I1" s="7" t="s">
        <v>20</v>
      </c>
      <c r="J1" s="12" t="s">
        <v>1</v>
      </c>
    </row>
    <row r="2" spans="1:10" x14ac:dyDescent="0.3">
      <c r="A2" s="2" t="s">
        <v>27</v>
      </c>
      <c r="B2" s="2" t="s">
        <v>28</v>
      </c>
      <c r="C2" s="2">
        <v>102</v>
      </c>
      <c r="D2" s="3">
        <v>44951</v>
      </c>
      <c r="E2" s="2">
        <v>2023</v>
      </c>
      <c r="F2" s="4">
        <v>1050</v>
      </c>
      <c r="G2" s="2">
        <v>8</v>
      </c>
      <c r="H2" s="2">
        <v>100</v>
      </c>
      <c r="I2" s="2" t="s">
        <v>29</v>
      </c>
      <c r="J2" s="5" t="str">
        <f>VLOOKUP(C2,Genre!$A$2:$B$9,2,)</f>
        <v>Action</v>
      </c>
    </row>
    <row r="3" spans="1:10" x14ac:dyDescent="0.3">
      <c r="A3" s="2" t="s">
        <v>30</v>
      </c>
      <c r="B3" s="2" t="s">
        <v>31</v>
      </c>
      <c r="C3" s="2">
        <v>102</v>
      </c>
      <c r="D3" s="3">
        <v>45176</v>
      </c>
      <c r="E3" s="2">
        <v>2023</v>
      </c>
      <c r="F3" s="4">
        <v>1100</v>
      </c>
      <c r="G3" s="2">
        <v>8</v>
      </c>
      <c r="H3" s="2">
        <v>120</v>
      </c>
      <c r="I3" s="2" t="s">
        <v>29</v>
      </c>
      <c r="J3" s="5" t="str">
        <f>VLOOKUP(C3,Genre!$A$2:$B$9,2,)</f>
        <v>Action</v>
      </c>
    </row>
    <row r="4" spans="1:10" x14ac:dyDescent="0.3">
      <c r="A4" s="2" t="s">
        <v>32</v>
      </c>
      <c r="B4" s="2" t="s">
        <v>33</v>
      </c>
      <c r="C4" s="2">
        <v>105</v>
      </c>
      <c r="D4" s="3">
        <v>45149</v>
      </c>
      <c r="E4" s="2">
        <v>2023</v>
      </c>
      <c r="F4" s="4">
        <v>650</v>
      </c>
      <c r="G4" s="2">
        <v>7</v>
      </c>
      <c r="H4" s="2">
        <v>80</v>
      </c>
      <c r="I4" s="2" t="s">
        <v>29</v>
      </c>
      <c r="J4" s="5" t="str">
        <f>VLOOKUP(C4,Genre!$A$2:$B$9,2,)</f>
        <v>Drama</v>
      </c>
    </row>
    <row r="5" spans="1:10" x14ac:dyDescent="0.3">
      <c r="A5" s="2" t="s">
        <v>34</v>
      </c>
      <c r="B5" s="2" t="s">
        <v>35</v>
      </c>
      <c r="C5" s="2">
        <v>103</v>
      </c>
      <c r="D5" s="3">
        <v>44813</v>
      </c>
      <c r="E5" s="2">
        <v>2022</v>
      </c>
      <c r="F5" s="4">
        <v>430</v>
      </c>
      <c r="G5" s="2">
        <v>6</v>
      </c>
      <c r="H5" s="2">
        <v>75</v>
      </c>
      <c r="I5" s="2" t="s">
        <v>29</v>
      </c>
      <c r="J5" s="5" t="str">
        <f>VLOOKUP(C5,Genre!$A$2:$B$9,2,)</f>
        <v>Fantasy</v>
      </c>
    </row>
    <row r="6" spans="1:10" x14ac:dyDescent="0.3">
      <c r="A6" s="2" t="s">
        <v>36</v>
      </c>
      <c r="B6" s="2" t="s">
        <v>37</v>
      </c>
      <c r="C6" s="2">
        <v>106</v>
      </c>
      <c r="D6" s="3">
        <v>45135</v>
      </c>
      <c r="E6" s="2">
        <v>2023</v>
      </c>
      <c r="F6" s="4">
        <v>350</v>
      </c>
      <c r="G6" s="2">
        <v>8</v>
      </c>
      <c r="H6" s="2">
        <v>60</v>
      </c>
      <c r="I6" s="2" t="s">
        <v>29</v>
      </c>
      <c r="J6" s="5" t="str">
        <f>VLOOKUP(C6,Genre!$A$2:$B$9,2,)</f>
        <v>Comedy</v>
      </c>
    </row>
    <row r="7" spans="1:10" x14ac:dyDescent="0.3">
      <c r="A7" s="2" t="s">
        <v>38</v>
      </c>
      <c r="B7" s="2" t="s">
        <v>39</v>
      </c>
      <c r="C7" s="2">
        <v>107</v>
      </c>
      <c r="D7" s="3">
        <v>44645</v>
      </c>
      <c r="E7" s="2">
        <v>2022</v>
      </c>
      <c r="F7" s="4">
        <v>1250</v>
      </c>
      <c r="G7" s="2">
        <v>9</v>
      </c>
      <c r="H7" s="2">
        <v>200</v>
      </c>
      <c r="I7" s="2" t="s">
        <v>40</v>
      </c>
      <c r="J7" s="5" t="str">
        <f>VLOOKUP(C7,Genre!$A$2:$B$9,2,)</f>
        <v>Thriller</v>
      </c>
    </row>
    <row r="8" spans="1:10" x14ac:dyDescent="0.3">
      <c r="A8" s="2" t="s">
        <v>41</v>
      </c>
      <c r="B8" s="2" t="s">
        <v>42</v>
      </c>
      <c r="C8" s="2">
        <v>102</v>
      </c>
      <c r="D8" s="3">
        <v>44665</v>
      </c>
      <c r="E8" s="2">
        <v>2022</v>
      </c>
      <c r="F8" s="4">
        <v>1200</v>
      </c>
      <c r="G8" s="2">
        <v>9</v>
      </c>
      <c r="H8" s="2">
        <v>150</v>
      </c>
      <c r="I8" s="2" t="s">
        <v>43</v>
      </c>
      <c r="J8" s="5" t="str">
        <f>VLOOKUP(C8,Genre!$A$2:$B$9,2,)</f>
        <v>Action</v>
      </c>
    </row>
    <row r="9" spans="1:10" x14ac:dyDescent="0.3">
      <c r="A9" s="2" t="s">
        <v>44</v>
      </c>
      <c r="B9" s="2" t="s">
        <v>45</v>
      </c>
      <c r="C9" s="2">
        <v>105</v>
      </c>
      <c r="D9" s="3">
        <v>44834</v>
      </c>
      <c r="E9" s="2">
        <v>2022</v>
      </c>
      <c r="F9" s="4">
        <v>450</v>
      </c>
      <c r="G9" s="2">
        <v>8</v>
      </c>
      <c r="H9" s="2">
        <v>90</v>
      </c>
      <c r="I9" s="2" t="s">
        <v>43</v>
      </c>
      <c r="J9" s="5" t="str">
        <f>VLOOKUP(C9,Genre!$A$2:$B$9,2,)</f>
        <v>Drama</v>
      </c>
    </row>
    <row r="10" spans="1:10" x14ac:dyDescent="0.3">
      <c r="A10" s="2" t="s">
        <v>46</v>
      </c>
      <c r="B10" s="2" t="s">
        <v>47</v>
      </c>
      <c r="C10" s="2">
        <v>104</v>
      </c>
      <c r="D10" s="3">
        <v>44715</v>
      </c>
      <c r="E10" s="2">
        <v>2022</v>
      </c>
      <c r="F10" s="4">
        <v>500</v>
      </c>
      <c r="G10" s="2">
        <v>8</v>
      </c>
      <c r="H10" s="2">
        <v>100</v>
      </c>
      <c r="I10" s="2" t="s">
        <v>48</v>
      </c>
      <c r="J10" s="5" t="str">
        <f>VLOOKUP(C10,Genre!$A$2:$B$9,2,)</f>
        <v>Sci-Fi</v>
      </c>
    </row>
    <row r="11" spans="1:10" x14ac:dyDescent="0.3">
      <c r="A11" s="2" t="s">
        <v>49</v>
      </c>
      <c r="B11" s="2" t="s">
        <v>50</v>
      </c>
      <c r="C11" s="2">
        <v>103</v>
      </c>
      <c r="D11" s="3">
        <v>44834</v>
      </c>
      <c r="E11" s="2">
        <v>2022</v>
      </c>
      <c r="F11" s="4">
        <v>500</v>
      </c>
      <c r="G11" s="2">
        <v>7</v>
      </c>
      <c r="H11" s="2">
        <v>100</v>
      </c>
      <c r="I11" s="2" t="s">
        <v>48</v>
      </c>
      <c r="J11" s="5" t="str">
        <f>VLOOKUP(C11,Genre!$A$2:$B$9,2,)</f>
        <v>Fantasy</v>
      </c>
    </row>
    <row r="12" spans="1:10" x14ac:dyDescent="0.3">
      <c r="A12" s="2" t="s">
        <v>51</v>
      </c>
      <c r="B12" s="2" t="s">
        <v>52</v>
      </c>
      <c r="C12" s="2">
        <v>107</v>
      </c>
      <c r="D12" s="3">
        <v>44883</v>
      </c>
      <c r="E12" s="2">
        <v>2022</v>
      </c>
      <c r="F12" s="4">
        <v>350</v>
      </c>
      <c r="G12" s="2">
        <v>7</v>
      </c>
      <c r="H12" s="2">
        <v>85</v>
      </c>
      <c r="I12" s="2" t="s">
        <v>29</v>
      </c>
      <c r="J12" s="5" t="str">
        <f>VLOOKUP(C12,Genre!$A$2:$B$9,2,)</f>
        <v>Thriller</v>
      </c>
    </row>
    <row r="13" spans="1:10" x14ac:dyDescent="0.3">
      <c r="A13" s="2" t="s">
        <v>53</v>
      </c>
      <c r="B13" s="2" t="s">
        <v>54</v>
      </c>
      <c r="C13" s="2">
        <v>106</v>
      </c>
      <c r="D13" s="3">
        <v>44701</v>
      </c>
      <c r="E13" s="2">
        <v>2022</v>
      </c>
      <c r="F13" s="4">
        <v>266</v>
      </c>
      <c r="G13" s="2">
        <v>7</v>
      </c>
      <c r="H13" s="2">
        <v>70</v>
      </c>
      <c r="I13" s="2" t="s">
        <v>29</v>
      </c>
      <c r="J13" s="5" t="str">
        <f>VLOOKUP(C13,Genre!$A$2:$B$9,2,)</f>
        <v>Comedy</v>
      </c>
    </row>
    <row r="14" spans="1:10" x14ac:dyDescent="0.3">
      <c r="A14" s="2" t="s">
        <v>55</v>
      </c>
      <c r="B14" s="2" t="s">
        <v>56</v>
      </c>
      <c r="C14" s="2">
        <v>104</v>
      </c>
      <c r="D14" s="3">
        <v>44890</v>
      </c>
      <c r="E14" s="2">
        <v>2022</v>
      </c>
      <c r="F14" s="4">
        <v>90</v>
      </c>
      <c r="G14" s="2">
        <v>6</v>
      </c>
      <c r="H14" s="2">
        <v>45</v>
      </c>
      <c r="I14" s="2" t="s">
        <v>29</v>
      </c>
      <c r="J14" s="5" t="str">
        <f>VLOOKUP(C14,Genre!$A$2:$B$9,2,)</f>
        <v>Sci-Fi</v>
      </c>
    </row>
    <row r="15" spans="1:10" x14ac:dyDescent="0.3">
      <c r="A15" s="2" t="s">
        <v>57</v>
      </c>
      <c r="B15" s="2" t="s">
        <v>58</v>
      </c>
      <c r="C15" s="2">
        <v>105</v>
      </c>
      <c r="D15" s="3">
        <v>44554</v>
      </c>
      <c r="E15" s="2">
        <v>2021</v>
      </c>
      <c r="F15" s="4">
        <v>193</v>
      </c>
      <c r="G15" s="2">
        <v>6</v>
      </c>
      <c r="H15" s="2">
        <v>50</v>
      </c>
      <c r="I15" s="2" t="s">
        <v>29</v>
      </c>
      <c r="J15" s="5" t="str">
        <f>VLOOKUP(C15,Genre!$A$2:$B$9,2,)</f>
        <v>Drama</v>
      </c>
    </row>
    <row r="16" spans="1:10" x14ac:dyDescent="0.3">
      <c r="A16" s="2" t="s">
        <v>59</v>
      </c>
      <c r="B16" s="2" t="s">
        <v>60</v>
      </c>
      <c r="C16" s="2">
        <v>102</v>
      </c>
      <c r="D16" s="3">
        <v>44547</v>
      </c>
      <c r="E16" s="2">
        <v>2021</v>
      </c>
      <c r="F16" s="4">
        <v>370</v>
      </c>
      <c r="G16" s="2">
        <v>8</v>
      </c>
      <c r="H16" s="2">
        <v>140</v>
      </c>
      <c r="I16" s="2" t="s">
        <v>40</v>
      </c>
      <c r="J16" s="5" t="str">
        <f>VLOOKUP(C16,Genre!$A$2:$B$9,2,)</f>
        <v>Action</v>
      </c>
    </row>
    <row r="17" spans="1:10" x14ac:dyDescent="0.3">
      <c r="A17" s="2" t="s">
        <v>61</v>
      </c>
      <c r="B17" s="2" t="s">
        <v>62</v>
      </c>
      <c r="C17" s="2">
        <v>102</v>
      </c>
      <c r="D17" s="3">
        <v>44505</v>
      </c>
      <c r="E17" s="2">
        <v>2021</v>
      </c>
      <c r="F17" s="4">
        <v>295</v>
      </c>
      <c r="G17" s="2">
        <v>7</v>
      </c>
      <c r="H17" s="2">
        <v>85</v>
      </c>
      <c r="I17" s="2" t="s">
        <v>29</v>
      </c>
      <c r="J17" s="5" t="str">
        <f>VLOOKUP(C17,Genre!$A$2:$B$9,2,)</f>
        <v>Action</v>
      </c>
    </row>
    <row r="18" spans="1:10" x14ac:dyDescent="0.3">
      <c r="A18" s="2" t="s">
        <v>63</v>
      </c>
      <c r="B18" s="2" t="s">
        <v>64</v>
      </c>
      <c r="C18" s="2">
        <v>105</v>
      </c>
      <c r="D18" s="3">
        <v>44617</v>
      </c>
      <c r="E18" s="2">
        <v>2022</v>
      </c>
      <c r="F18" s="4">
        <v>209</v>
      </c>
      <c r="G18" s="2">
        <v>7</v>
      </c>
      <c r="H18" s="2">
        <v>70</v>
      </c>
      <c r="I18" s="2" t="s">
        <v>29</v>
      </c>
      <c r="J18" s="5" t="str">
        <f>VLOOKUP(C18,Genre!$A$2:$B$9,2,)</f>
        <v>Drama</v>
      </c>
    </row>
    <row r="19" spans="1:10" x14ac:dyDescent="0.3">
      <c r="A19" s="2" t="s">
        <v>65</v>
      </c>
      <c r="B19" s="2" t="s">
        <v>66</v>
      </c>
      <c r="C19" s="2">
        <v>106</v>
      </c>
      <c r="D19" s="3">
        <v>44778</v>
      </c>
      <c r="E19" s="2">
        <v>2022</v>
      </c>
      <c r="F19" s="4">
        <v>136</v>
      </c>
      <c r="G19" s="2">
        <v>8</v>
      </c>
      <c r="H19" s="2">
        <v>75</v>
      </c>
      <c r="I19" s="2" t="s">
        <v>40</v>
      </c>
      <c r="J19" s="5" t="str">
        <f>VLOOKUP(C19,Genre!$A$2:$B$9,2,)</f>
        <v>Comedy</v>
      </c>
    </row>
    <row r="20" spans="1:10" x14ac:dyDescent="0.3">
      <c r="A20" s="2" t="s">
        <v>67</v>
      </c>
      <c r="B20" s="2" t="s">
        <v>68</v>
      </c>
      <c r="C20" s="2">
        <v>105</v>
      </c>
      <c r="D20" s="3">
        <v>44295</v>
      </c>
      <c r="E20" s="2">
        <v>2021</v>
      </c>
      <c r="F20" s="4">
        <v>137</v>
      </c>
      <c r="G20" s="2">
        <v>7</v>
      </c>
      <c r="H20" s="2">
        <v>60</v>
      </c>
      <c r="I20" s="2" t="s">
        <v>40</v>
      </c>
      <c r="J20" s="5" t="str">
        <f>VLOOKUP(C20,Genre!$A$2:$B$9,2,)</f>
        <v>Drama</v>
      </c>
    </row>
    <row r="21" spans="1:10" x14ac:dyDescent="0.3">
      <c r="A21" s="2" t="s">
        <v>69</v>
      </c>
      <c r="B21" s="2" t="s">
        <v>70</v>
      </c>
      <c r="C21" s="2">
        <v>107</v>
      </c>
      <c r="D21" s="3">
        <v>44631</v>
      </c>
      <c r="E21" s="2">
        <v>2022</v>
      </c>
      <c r="F21" s="4">
        <v>340</v>
      </c>
      <c r="G21" s="2">
        <v>8</v>
      </c>
      <c r="H21" s="2">
        <v>100</v>
      </c>
      <c r="I21" s="2" t="s">
        <v>29</v>
      </c>
      <c r="J21" s="5" t="str">
        <f>VLOOKUP(C21,Genre!$A$2:$B$9,2,)</f>
        <v>Thriller</v>
      </c>
    </row>
    <row r="22" spans="1:10" x14ac:dyDescent="0.3">
      <c r="A22" s="2" t="s">
        <v>71</v>
      </c>
      <c r="B22" s="2" t="s">
        <v>72</v>
      </c>
      <c r="C22" s="2">
        <v>101</v>
      </c>
      <c r="D22" s="3">
        <v>45093</v>
      </c>
      <c r="E22" s="2">
        <v>2023</v>
      </c>
      <c r="F22" s="4">
        <v>260</v>
      </c>
      <c r="G22" s="2">
        <v>7</v>
      </c>
      <c r="H22" s="2">
        <v>210</v>
      </c>
      <c r="I22" s="2" t="s">
        <v>29</v>
      </c>
      <c r="J22" s="5" t="str">
        <f>VLOOKUP(C22,Genre!$A$2:$B$9,2,)</f>
        <v>Adventure</v>
      </c>
    </row>
    <row r="23" spans="1:10" x14ac:dyDescent="0.3">
      <c r="A23" s="2" t="s">
        <v>73</v>
      </c>
      <c r="B23" s="2" t="s">
        <v>74</v>
      </c>
      <c r="C23" s="2">
        <v>106</v>
      </c>
      <c r="D23" s="3">
        <v>41544</v>
      </c>
      <c r="E23" s="2">
        <v>2013</v>
      </c>
      <c r="F23" s="4">
        <v>125</v>
      </c>
      <c r="G23" s="2">
        <v>8</v>
      </c>
      <c r="H23" s="2">
        <v>190</v>
      </c>
      <c r="I23" s="2" t="s">
        <v>40</v>
      </c>
      <c r="J23" s="5" t="str">
        <f>VLOOKUP(C23,Genre!$A$2:$B$9,2,)</f>
        <v>Comedy</v>
      </c>
    </row>
    <row r="24" spans="1:10" x14ac:dyDescent="0.3">
      <c r="A24" s="2" t="s">
        <v>75</v>
      </c>
      <c r="B24" s="2" t="s">
        <v>76</v>
      </c>
      <c r="C24" s="2">
        <v>105</v>
      </c>
      <c r="D24" s="3">
        <v>44484</v>
      </c>
      <c r="E24" s="2">
        <v>2021</v>
      </c>
      <c r="F24" s="4">
        <v>125</v>
      </c>
      <c r="G24" s="2">
        <v>8</v>
      </c>
      <c r="H24" s="2">
        <v>200</v>
      </c>
      <c r="I24" s="2" t="s">
        <v>29</v>
      </c>
      <c r="J24" s="5" t="str">
        <f>VLOOKUP(C24,Genre!$A$2:$B$9,2,)</f>
        <v>Drama</v>
      </c>
    </row>
    <row r="25" spans="1:10" x14ac:dyDescent="0.3">
      <c r="A25" s="2" t="s">
        <v>77</v>
      </c>
      <c r="B25" s="2" t="s">
        <v>78</v>
      </c>
      <c r="C25" s="2">
        <v>102</v>
      </c>
      <c r="D25" s="3">
        <v>42557</v>
      </c>
      <c r="E25" s="2">
        <v>2016</v>
      </c>
      <c r="F25" s="4">
        <v>300</v>
      </c>
      <c r="G25" s="2">
        <v>9</v>
      </c>
      <c r="H25" s="2">
        <v>240</v>
      </c>
      <c r="I25" s="2" t="s">
        <v>29</v>
      </c>
      <c r="J25" s="5" t="str">
        <f>VLOOKUP(C25,Genre!$A$2:$B$9,2,)</f>
        <v>Action</v>
      </c>
    </row>
    <row r="26" spans="1:10" x14ac:dyDescent="0.3">
      <c r="A26" s="2" t="s">
        <v>79</v>
      </c>
      <c r="B26" s="2" t="s">
        <v>80</v>
      </c>
      <c r="C26" s="2">
        <v>106</v>
      </c>
      <c r="D26" s="3">
        <v>41705</v>
      </c>
      <c r="E26" s="2">
        <v>2014</v>
      </c>
      <c r="F26" s="4">
        <v>80</v>
      </c>
      <c r="G26" s="2">
        <v>8</v>
      </c>
      <c r="H26" s="2">
        <v>160</v>
      </c>
      <c r="I26" s="2" t="s">
        <v>29</v>
      </c>
      <c r="J26" s="5" t="str">
        <f>VLOOKUP(C26,Genre!$A$2:$B$9,2,)</f>
        <v>Comedy</v>
      </c>
    </row>
    <row r="27" spans="1:10" x14ac:dyDescent="0.3">
      <c r="A27" s="2" t="s">
        <v>81</v>
      </c>
      <c r="B27" s="2" t="s">
        <v>82</v>
      </c>
      <c r="C27" s="2">
        <v>104</v>
      </c>
      <c r="D27" s="3">
        <v>43433</v>
      </c>
      <c r="E27" s="2">
        <v>2018</v>
      </c>
      <c r="F27" s="4">
        <v>800</v>
      </c>
      <c r="G27" s="2">
        <v>8</v>
      </c>
      <c r="H27" s="2">
        <v>250</v>
      </c>
      <c r="I27" s="2" t="s">
        <v>48</v>
      </c>
      <c r="J27" s="5" t="str">
        <f>VLOOKUP(C27,Genre!$A$2:$B$9,2,)</f>
        <v>Sci-Fi</v>
      </c>
    </row>
    <row r="28" spans="1:10" x14ac:dyDescent="0.3">
      <c r="A28" s="2" t="s">
        <v>83</v>
      </c>
      <c r="B28" s="2" t="s">
        <v>84</v>
      </c>
      <c r="C28" s="2">
        <v>102</v>
      </c>
      <c r="D28" s="3">
        <v>43545</v>
      </c>
      <c r="E28" s="2">
        <v>2019</v>
      </c>
      <c r="F28" s="4">
        <v>207</v>
      </c>
      <c r="G28" s="2">
        <v>7</v>
      </c>
      <c r="H28" s="2">
        <v>230</v>
      </c>
      <c r="I28" s="2" t="s">
        <v>29</v>
      </c>
      <c r="J28" s="5" t="str">
        <f>VLOOKUP(C28,Genre!$A$2:$B$9,2,)</f>
        <v>Action</v>
      </c>
    </row>
    <row r="29" spans="1:10" x14ac:dyDescent="0.3">
      <c r="A29" s="2" t="s">
        <v>85</v>
      </c>
      <c r="B29" s="2" t="s">
        <v>86</v>
      </c>
      <c r="C29" s="2">
        <v>105</v>
      </c>
      <c r="D29" s="3">
        <v>42727</v>
      </c>
      <c r="E29" s="2">
        <v>2016</v>
      </c>
      <c r="F29" s="4">
        <v>387</v>
      </c>
      <c r="G29" s="2">
        <v>9</v>
      </c>
      <c r="H29" s="2">
        <v>300</v>
      </c>
      <c r="I29" s="2" t="s">
        <v>29</v>
      </c>
      <c r="J29" s="5" t="str">
        <f>VLOOKUP(C29,Genre!$A$2:$B$9,2,)</f>
        <v>Drama</v>
      </c>
    </row>
    <row r="30" spans="1:10" x14ac:dyDescent="0.3">
      <c r="A30" s="2" t="s">
        <v>87</v>
      </c>
      <c r="B30" s="2" t="s">
        <v>88</v>
      </c>
      <c r="C30" s="2">
        <v>107</v>
      </c>
      <c r="D30" s="3">
        <v>44043</v>
      </c>
      <c r="E30" s="2">
        <v>2020</v>
      </c>
      <c r="F30" s="4">
        <v>23</v>
      </c>
      <c r="G30" s="2">
        <v>7</v>
      </c>
      <c r="H30" s="2">
        <v>170</v>
      </c>
      <c r="I30" s="2" t="s">
        <v>29</v>
      </c>
      <c r="J30" s="5" t="str">
        <f>VLOOKUP(C30,Genre!$A$2:$B$9,2,)</f>
        <v>Thriller</v>
      </c>
    </row>
    <row r="31" spans="1:10" x14ac:dyDescent="0.3">
      <c r="A31" s="2" t="s">
        <v>89</v>
      </c>
      <c r="B31" s="2" t="s">
        <v>64</v>
      </c>
      <c r="C31" s="2">
        <v>105</v>
      </c>
      <c r="D31" s="3">
        <v>44617</v>
      </c>
      <c r="E31" s="2">
        <v>2022</v>
      </c>
      <c r="F31" s="4">
        <v>240</v>
      </c>
      <c r="G31" s="2">
        <v>8</v>
      </c>
      <c r="H31" s="2">
        <v>200</v>
      </c>
      <c r="I31" s="2" t="s">
        <v>29</v>
      </c>
      <c r="J31" s="5" t="str">
        <f>VLOOKUP(C31,Genre!$A$2:$B$9,2,)</f>
        <v>Drama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RowHeight="14.4" x14ac:dyDescent="0.3"/>
  <cols>
    <col min="1" max="1" width="89.6640625" customWidth="1"/>
    <col min="2" max="2" width="30.44140625" customWidth="1"/>
  </cols>
  <sheetData>
    <row r="1" spans="1:2" ht="46.8" x14ac:dyDescent="0.45">
      <c r="A1" s="6" t="s">
        <v>90</v>
      </c>
      <c r="B1" s="9" t="s">
        <v>91</v>
      </c>
    </row>
    <row r="2" spans="1:2" x14ac:dyDescent="0.3">
      <c r="A2" s="7" t="s">
        <v>92</v>
      </c>
      <c r="B2" s="8">
        <f>SUMIFS('Task 2'!$F$2:$F$31,'Task 2'!$J$2:$J$31,"Action",'Task 2'!$H$2:$H$31,"&gt;200")</f>
        <v>507</v>
      </c>
    </row>
    <row r="3" spans="1:2" x14ac:dyDescent="0.3">
      <c r="A3" s="7" t="s">
        <v>93</v>
      </c>
      <c r="B3" s="8">
        <f>AVERAGEIFS('Task 2'!F2:F31,'Task 2'!J2:J31,"Action",'Task 2'!G2:G31,"&gt;=5")</f>
        <v>646</v>
      </c>
    </row>
    <row r="4" spans="1:2" ht="28.8" x14ac:dyDescent="0.3">
      <c r="A4" s="7" t="s">
        <v>94</v>
      </c>
      <c r="B4" s="8">
        <f>COUNTIFS('Task 2'!J2:J31,"Thriller",'Task 2'!F2:F31,"&gt;500",'Task 2'!G2:G31,"&gt;=8")</f>
        <v>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3F5048-4639-4611-BB8F-DD155D59E282}">
  <ds:schemaRefs>
    <ds:schemaRef ds:uri="0f01b7b4-d4b6-47da-93c5-cffa90a406b9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B1C4645-D600-4579-809F-5414EED51F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C2A8E9-14D3-4B0A-B30D-A19543094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Genre</vt:lpstr>
      <vt:lpstr>Task 1</vt:lpstr>
      <vt:lpstr>Task 2</vt:lpstr>
      <vt:lpstr>Task 3</vt:lpstr>
      <vt:lpstr>Category</vt:lpstr>
      <vt:lpstr>SubCategory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Ashish</dc:creator>
  <cp:keywords/>
  <dc:description/>
  <cp:lastModifiedBy>Bharat kumar</cp:lastModifiedBy>
  <cp:revision/>
  <dcterms:created xsi:type="dcterms:W3CDTF">2024-09-19T03:38:09Z</dcterms:created>
  <dcterms:modified xsi:type="dcterms:W3CDTF">2025-12-13T17:43:18Z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0x010100D80C9320661FCB478F077E19A50F7652</vt:lpwstr>
  </property>
</Properties>
</file>